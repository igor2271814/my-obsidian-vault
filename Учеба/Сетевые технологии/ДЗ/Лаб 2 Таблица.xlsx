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riy\Documents\ДЗ\"/>
    </mc:Choice>
  </mc:AlternateContent>
  <xr:revisionPtr revIDLastSave="0" documentId="13_ncr:1_{0623DF4F-901B-4153-8EF8-273E36C950A8}" xr6:coauthVersionLast="47" xr6:coauthVersionMax="47" xr10:uidLastSave="{00000000-0000-0000-0000-000000000000}"/>
  <bookViews>
    <workbookView xWindow="-120" yWindow="-120" windowWidth="29040" windowHeight="15720" xr2:uid="{8CDB2B7A-6F3A-4285-85A4-4B71CE46E5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S6" i="1"/>
  <c r="M6" i="1"/>
  <c r="N6" i="1"/>
  <c r="O6" i="1"/>
  <c r="P6" i="1"/>
  <c r="Q6" i="1"/>
  <c r="R6" i="1"/>
  <c r="L6" i="1"/>
  <c r="H4" i="1"/>
  <c r="C6" i="1"/>
  <c r="C9" i="1" s="1"/>
  <c r="D6" i="1"/>
  <c r="D8" i="1" s="1"/>
  <c r="J6" i="1"/>
  <c r="J10" i="1" s="1"/>
  <c r="B6" i="1"/>
  <c r="B10" i="1" s="1"/>
  <c r="D4" i="1"/>
  <c r="E4" i="1" s="1"/>
  <c r="F4" i="1" l="1"/>
  <c r="E6" i="1"/>
  <c r="J8" i="1"/>
  <c r="J11" i="1" s="1"/>
  <c r="B7" i="1"/>
  <c r="B9" i="1"/>
  <c r="J7" i="1"/>
  <c r="J9" i="1"/>
  <c r="B8" i="1"/>
  <c r="B11" i="1" s="1"/>
  <c r="D10" i="1"/>
  <c r="D11" i="1" s="1"/>
  <c r="C8" i="1"/>
  <c r="D7" i="1"/>
  <c r="D9" i="1"/>
  <c r="C10" i="1"/>
  <c r="C7" i="1"/>
  <c r="C11" i="1" l="1"/>
  <c r="E10" i="1"/>
  <c r="E9" i="1"/>
  <c r="E7" i="1"/>
  <c r="E8" i="1"/>
  <c r="F6" i="1"/>
  <c r="F7" i="1" l="1"/>
  <c r="F10" i="1"/>
  <c r="F9" i="1"/>
  <c r="F8" i="1"/>
  <c r="G6" i="1"/>
  <c r="E11" i="1"/>
  <c r="F11" i="1" l="1"/>
  <c r="G8" i="1"/>
  <c r="G9" i="1"/>
  <c r="G10" i="1"/>
  <c r="G7" i="1"/>
  <c r="G11" i="1" l="1"/>
  <c r="I4" i="1"/>
  <c r="I6" i="1" s="1"/>
  <c r="H6" i="1"/>
  <c r="H9" i="1" l="1"/>
  <c r="H8" i="1"/>
  <c r="H7" i="1"/>
  <c r="H10" i="1"/>
  <c r="I8" i="1"/>
  <c r="I9" i="1"/>
  <c r="I10" i="1"/>
  <c r="I7" i="1"/>
  <c r="I11" i="1" l="1"/>
  <c r="H11" i="1"/>
</calcChain>
</file>

<file path=xl/sharedStrings.xml><?xml version="1.0" encoding="utf-8"?>
<sst xmlns="http://schemas.openxmlformats.org/spreadsheetml/2006/main" count="9" uniqueCount="9">
  <si>
    <t>E</t>
  </si>
  <si>
    <t>r</t>
  </si>
  <si>
    <t>Rн</t>
  </si>
  <si>
    <t>I = E/(r + Rн)</t>
  </si>
  <si>
    <t>Uн = I*Rн</t>
  </si>
  <si>
    <t>Pист = E*I</t>
  </si>
  <si>
    <t>Pr = I^2*r</t>
  </si>
  <si>
    <t>Pн = I^2*Rн</t>
  </si>
  <si>
    <r>
      <rPr>
        <sz val="11"/>
        <color theme="1"/>
        <rFont val="Aptos Narrow"/>
        <family val="2"/>
      </rPr>
      <t>η</t>
    </r>
    <r>
      <rPr>
        <sz val="11"/>
        <color theme="1"/>
        <rFont val="Aptos Narrow"/>
        <family val="2"/>
        <charset val="204"/>
      </rPr>
      <t xml:space="preserve"> = 100%(Pн/Pи)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</si>
</sst>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0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quotePrefix="1"/>
    <xf numFmtId="165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 b="1"/>
              <a:t>Зависимость</a:t>
            </a:r>
            <a:r>
              <a:rPr lang="ru-RU" sz="1050" b="1" baseline="0"/>
              <a:t> мощности источника, мощности на внутреннем сопротивлении источника и мощности на нагрузке от сопротивления нагрузки</a:t>
            </a:r>
            <a:endParaRPr lang="ru-RU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4"/>
          <c:order val="1"/>
          <c:tx>
            <c:strRef>
              <c:f>Лист1!$A$8</c:f>
              <c:strCache>
                <c:ptCount val="1"/>
                <c:pt idx="0">
                  <c:v>Pист = E*I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Лист1!$B$4:$J$4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320</c:v>
                </c:pt>
                <c:pt idx="6">
                  <c:v>1280</c:v>
                </c:pt>
                <c:pt idx="7">
                  <c:v>2560</c:v>
                </c:pt>
                <c:pt idx="8">
                  <c:v>5000</c:v>
                </c:pt>
              </c:numCache>
            </c:numRef>
          </c:cat>
          <c:val>
            <c:numRef>
              <c:f>Лист1!$B$8:$J$8</c:f>
              <c:numCache>
                <c:formatCode>0.000</c:formatCode>
                <c:ptCount val="9"/>
                <c:pt idx="0">
                  <c:v>1.7999999999999999E-2</c:v>
                </c:pt>
                <c:pt idx="1">
                  <c:v>1.7454545454545455E-2</c:v>
                </c:pt>
                <c:pt idx="2">
                  <c:v>1.6941176470588234E-2</c:v>
                </c:pt>
                <c:pt idx="3">
                  <c:v>1.5999999999999997E-2</c:v>
                </c:pt>
                <c:pt idx="4">
                  <c:v>1.44E-2</c:v>
                </c:pt>
                <c:pt idx="5">
                  <c:v>8.9999999999999993E-3</c:v>
                </c:pt>
                <c:pt idx="6">
                  <c:v>3.5999999999999999E-3</c:v>
                </c:pt>
                <c:pt idx="7">
                  <c:v>1.9999999999999996E-3</c:v>
                </c:pt>
                <c:pt idx="8">
                  <c:v>1.0827067669172932E-3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75-4182-A1A4-0A8429796FDE}"/>
            </c:ext>
          </c:extLst>
        </c:ser>
        <c:ser>
          <c:idx val="5"/>
          <c:order val="2"/>
          <c:tx>
            <c:strRef>
              <c:f>Лист1!$A$9</c:f>
              <c:strCache>
                <c:ptCount val="1"/>
                <c:pt idx="0">
                  <c:v>Pr = I^2*r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Лист1!$B$4:$J$4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320</c:v>
                </c:pt>
                <c:pt idx="6">
                  <c:v>1280</c:v>
                </c:pt>
                <c:pt idx="7">
                  <c:v>2560</c:v>
                </c:pt>
                <c:pt idx="8">
                  <c:v>5000</c:v>
                </c:pt>
              </c:numCache>
            </c:numRef>
          </c:cat>
          <c:val>
            <c:numRef>
              <c:f>Лист1!$B$9:$J$9</c:f>
              <c:numCache>
                <c:formatCode>0.000</c:formatCode>
                <c:ptCount val="9"/>
                <c:pt idx="0">
                  <c:v>1.7999999999999999E-2</c:v>
                </c:pt>
                <c:pt idx="1">
                  <c:v>1.6925619834710744E-2</c:v>
                </c:pt>
                <c:pt idx="2">
                  <c:v>1.5944636678200688E-2</c:v>
                </c:pt>
                <c:pt idx="3">
                  <c:v>1.4222222222222221E-2</c:v>
                </c:pt>
                <c:pt idx="4">
                  <c:v>1.1520000000000001E-2</c:v>
                </c:pt>
                <c:pt idx="5">
                  <c:v>4.4999999999999997E-3</c:v>
                </c:pt>
                <c:pt idx="6">
                  <c:v>7.2000000000000005E-4</c:v>
                </c:pt>
                <c:pt idx="7" formatCode="0.00000">
                  <c:v>2.2222222222222221E-4</c:v>
                </c:pt>
                <c:pt idx="8" formatCode="0.00000">
                  <c:v>6.5125219062694333E-5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75-4182-A1A4-0A8429796FDE}"/>
            </c:ext>
          </c:extLst>
        </c:ser>
        <c:ser>
          <c:idx val="6"/>
          <c:order val="3"/>
          <c:tx>
            <c:strRef>
              <c:f>Лист1!$A$10</c:f>
              <c:strCache>
                <c:ptCount val="1"/>
                <c:pt idx="0">
                  <c:v>Pн = I^2*Rн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Лист1!$B$4:$J$4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320</c:v>
                </c:pt>
                <c:pt idx="6">
                  <c:v>1280</c:v>
                </c:pt>
                <c:pt idx="7">
                  <c:v>2560</c:v>
                </c:pt>
                <c:pt idx="8">
                  <c:v>5000</c:v>
                </c:pt>
              </c:numCache>
            </c:numRef>
          </c:cat>
          <c:val>
            <c:numRef>
              <c:f>Лист1!$B$10:$J$10</c:f>
              <c:numCache>
                <c:formatCode>0.000</c:formatCode>
                <c:ptCount val="9"/>
                <c:pt idx="0">
                  <c:v>0</c:v>
                </c:pt>
                <c:pt idx="1">
                  <c:v>5.2892561983471076E-4</c:v>
                </c:pt>
                <c:pt idx="2">
                  <c:v>9.9653979238754301E-4</c:v>
                </c:pt>
                <c:pt idx="3">
                  <c:v>1.7777777777777776E-3</c:v>
                </c:pt>
                <c:pt idx="4">
                  <c:v>2.8800000000000002E-3</c:v>
                </c:pt>
                <c:pt idx="5">
                  <c:v>4.4999999999999997E-3</c:v>
                </c:pt>
                <c:pt idx="6">
                  <c:v>2.8800000000000002E-3</c:v>
                </c:pt>
                <c:pt idx="7">
                  <c:v>1.7777777777777776E-3</c:v>
                </c:pt>
                <c:pt idx="8">
                  <c:v>1.017581547854599E-3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75-4182-A1A4-0A8429796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538047"/>
        <c:axId val="441545727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Лист1!$B$4:$J$4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40</c:v>
                      </c:pt>
                      <c:pt idx="4">
                        <c:v>80</c:v>
                      </c:pt>
                      <c:pt idx="5">
                        <c:v>320</c:v>
                      </c:pt>
                      <c:pt idx="6">
                        <c:v>1280</c:v>
                      </c:pt>
                      <c:pt idx="7">
                        <c:v>2560</c:v>
                      </c:pt>
                      <c:pt idx="8">
                        <c:v>5000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Лист1!$B$5:$J$5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975-4182-A1A4-0A8429796FDE}"/>
                  </c:ext>
                </c:extLst>
              </c15:ser>
            </c15:filteredLineSeries>
          </c:ext>
        </c:extLst>
      </c:lineChart>
      <c:catAx>
        <c:axId val="44153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545727"/>
        <c:crosses val="autoZero"/>
        <c:auto val="1"/>
        <c:lblAlgn val="ctr"/>
        <c:lblOffset val="100"/>
        <c:noMultiLvlLbl val="0"/>
      </c:catAx>
      <c:valAx>
        <c:axId val="441545727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53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451526610021205"/>
          <c:y val="7.9258164232427958E-2"/>
          <c:w val="0.75608974301941068"/>
          <c:h val="6.9229361328439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падения напряжения на нагрузке и кпд цепи от сопротивления нагрузки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Лист1!$A$7</c:f>
              <c:strCache>
                <c:ptCount val="1"/>
                <c:pt idx="0">
                  <c:v>Uн = I*Rн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Лист1!$B$4:$J$4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320</c:v>
                </c:pt>
                <c:pt idx="6">
                  <c:v>1280</c:v>
                </c:pt>
                <c:pt idx="7">
                  <c:v>2560</c:v>
                </c:pt>
                <c:pt idx="8">
                  <c:v>5000</c:v>
                </c:pt>
              </c:numCache>
            </c:numRef>
          </c:cat>
          <c:val>
            <c:numRef>
              <c:f>Лист1!$B$7:$J$7</c:f>
              <c:numCache>
                <c:formatCode>0.000</c:formatCode>
                <c:ptCount val="9"/>
                <c:pt idx="0">
                  <c:v>0</c:v>
                </c:pt>
                <c:pt idx="1">
                  <c:v>7.2727272727272724E-2</c:v>
                </c:pt>
                <c:pt idx="2">
                  <c:v>0.14117647058823529</c:v>
                </c:pt>
                <c:pt idx="3">
                  <c:v>0.26666666666666666</c:v>
                </c:pt>
                <c:pt idx="4">
                  <c:v>0.48</c:v>
                </c:pt>
                <c:pt idx="5">
                  <c:v>1.2</c:v>
                </c:pt>
                <c:pt idx="6">
                  <c:v>1.92</c:v>
                </c:pt>
                <c:pt idx="7">
                  <c:v>2.1333333333333333</c:v>
                </c:pt>
                <c:pt idx="8">
                  <c:v>2.255639097744361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84-4213-A5D1-8B66BD099CAD}"/>
            </c:ext>
          </c:extLst>
        </c:ser>
        <c:ser>
          <c:idx val="2"/>
          <c:order val="1"/>
          <c:tx>
            <c:strRef>
              <c:f>Лист1!$A$11</c:f>
              <c:strCache>
                <c:ptCount val="1"/>
                <c:pt idx="0">
                  <c:v>η = 100%(Pн/Pи)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Лист1!$B$4:$J$4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320</c:v>
                </c:pt>
                <c:pt idx="6">
                  <c:v>1280</c:v>
                </c:pt>
                <c:pt idx="7">
                  <c:v>2560</c:v>
                </c:pt>
                <c:pt idx="8">
                  <c:v>5000</c:v>
                </c:pt>
              </c:numCache>
            </c:numRef>
          </c:cat>
          <c:val>
            <c:numRef>
              <c:f>Лист1!$B$11:$J$11</c:f>
              <c:numCache>
                <c:formatCode>0.000</c:formatCode>
                <c:ptCount val="9"/>
                <c:pt idx="0">
                  <c:v>0</c:v>
                </c:pt>
                <c:pt idx="1">
                  <c:v>3.0303030303030303</c:v>
                </c:pt>
                <c:pt idx="2">
                  <c:v>5.8823529411764701</c:v>
                </c:pt>
                <c:pt idx="3">
                  <c:v>11.111111111111112</c:v>
                </c:pt>
                <c:pt idx="4">
                  <c:v>20</c:v>
                </c:pt>
                <c:pt idx="5">
                  <c:v>50</c:v>
                </c:pt>
                <c:pt idx="6">
                  <c:v>80</c:v>
                </c:pt>
                <c:pt idx="7">
                  <c:v>88.8888888888889</c:v>
                </c:pt>
                <c:pt idx="8">
                  <c:v>93.984962406015043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84-4213-A5D1-8B66BD099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863023"/>
        <c:axId val="547853903"/>
      </c:lineChart>
      <c:catAx>
        <c:axId val="54786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7853903"/>
        <c:crosses val="autoZero"/>
        <c:auto val="1"/>
        <c:lblAlgn val="ctr"/>
        <c:lblOffset val="100"/>
        <c:noMultiLvlLbl val="0"/>
      </c:catAx>
      <c:valAx>
        <c:axId val="547853903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78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силы</a:t>
            </a:r>
            <a:r>
              <a:rPr lang="ru-RU" baseline="0"/>
              <a:t> тока от сопротивления нагрузки</a:t>
            </a:r>
            <a:endParaRPr lang="ru-RU"/>
          </a:p>
        </c:rich>
      </c:tx>
      <c:layout>
        <c:manualLayout>
          <c:xMode val="edge"/>
          <c:yMode val="edge"/>
          <c:x val="0.28412193727180751"/>
          <c:y val="2.7777810046676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Лист1!$A$6</c:f>
              <c:strCache>
                <c:ptCount val="1"/>
                <c:pt idx="0">
                  <c:v>I = E/(r + Rн)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Лист1!$B$4:$J$4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  <c:pt idx="5">
                  <c:v>320</c:v>
                </c:pt>
                <c:pt idx="6">
                  <c:v>1280</c:v>
                </c:pt>
                <c:pt idx="7">
                  <c:v>2560</c:v>
                </c:pt>
                <c:pt idx="8">
                  <c:v>5000</c:v>
                </c:pt>
              </c:numCache>
            </c:numRef>
          </c:cat>
          <c:val>
            <c:numRef>
              <c:f>Лист1!$L$6:$T$6</c:f>
              <c:numCache>
                <c:formatCode>General</c:formatCode>
                <c:ptCount val="9"/>
                <c:pt idx="0">
                  <c:v>7.5</c:v>
                </c:pt>
                <c:pt idx="1">
                  <c:v>7.2727272727272725</c:v>
                </c:pt>
                <c:pt idx="2">
                  <c:v>7.0588235294117645</c:v>
                </c:pt>
                <c:pt idx="3">
                  <c:v>6.6666666666666661</c:v>
                </c:pt>
                <c:pt idx="4">
                  <c:v>6</c:v>
                </c:pt>
                <c:pt idx="5">
                  <c:v>3.75</c:v>
                </c:pt>
                <c:pt idx="6">
                  <c:v>1.5</c:v>
                </c:pt>
                <c:pt idx="7">
                  <c:v>0.83333333333333326</c:v>
                </c:pt>
                <c:pt idx="8">
                  <c:v>0.45112781954887221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1-4E9E-8077-C4DC510CA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316703"/>
        <c:axId val="658317663"/>
      </c:lineChart>
      <c:catAx>
        <c:axId val="65831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317663"/>
        <c:crosses val="autoZero"/>
        <c:auto val="1"/>
        <c:lblAlgn val="ctr"/>
        <c:lblOffset val="100"/>
        <c:noMultiLvlLbl val="0"/>
      </c:catAx>
      <c:valAx>
        <c:axId val="6583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31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4762</xdr:rowOff>
    </xdr:from>
    <xdr:to>
      <xdr:col>14</xdr:col>
      <xdr:colOff>504825</xdr:colOff>
      <xdr:row>38</xdr:row>
      <xdr:rowOff>28576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18AE98-DC0E-95B9-5A26-F068D9B32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47</xdr:row>
      <xdr:rowOff>180976</xdr:rowOff>
    </xdr:from>
    <xdr:to>
      <xdr:col>16</xdr:col>
      <xdr:colOff>590550</xdr:colOff>
      <xdr:row>80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9758D6F-3CA0-1114-2EDA-823F53EA8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1047749</xdr:colOff>
      <xdr:row>83</xdr:row>
      <xdr:rowOff>14286</xdr:rowOff>
    </xdr:from>
    <xdr:to>
      <xdr:col>12</xdr:col>
      <xdr:colOff>0</xdr:colOff>
      <xdr:row>105</xdr:row>
      <xdr:rowOff>190499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19F7DBE-1B98-2A1E-95B3-41217C937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7A33-EBD1-4E3A-95F4-1BBD75675E2B}">
  <dimension ref="A2:T12"/>
  <sheetViews>
    <sheetView tabSelected="1" topLeftCell="A46" workbookViewId="0">
      <selection activeCell="T77" sqref="T77"/>
    </sheetView>
  </sheetViews>
  <sheetFormatPr defaultRowHeight="15" x14ac:dyDescent="0.25"/>
  <cols>
    <col min="1" max="1" width="15.7109375" customWidth="1"/>
  </cols>
  <sheetData>
    <row r="2" spans="1:20" x14ac:dyDescent="0.25">
      <c r="A2" t="s">
        <v>0</v>
      </c>
      <c r="B2" s="1">
        <v>2.4</v>
      </c>
    </row>
    <row r="3" spans="1:20" x14ac:dyDescent="0.25">
      <c r="A3" t="s">
        <v>1</v>
      </c>
      <c r="B3">
        <v>320</v>
      </c>
    </row>
    <row r="4" spans="1:20" x14ac:dyDescent="0.25">
      <c r="A4" t="s">
        <v>2</v>
      </c>
      <c r="B4">
        <v>0</v>
      </c>
      <c r="C4">
        <v>10</v>
      </c>
      <c r="D4">
        <f>C4*2</f>
        <v>20</v>
      </c>
      <c r="E4">
        <f t="shared" ref="E4:F4" si="0">D4*2</f>
        <v>40</v>
      </c>
      <c r="F4">
        <f t="shared" si="0"/>
        <v>80</v>
      </c>
      <c r="G4">
        <v>320</v>
      </c>
      <c r="H4">
        <f>640*2</f>
        <v>1280</v>
      </c>
      <c r="I4">
        <f>H4*2</f>
        <v>2560</v>
      </c>
      <c r="J4">
        <v>5000</v>
      </c>
    </row>
    <row r="6" spans="1:20" x14ac:dyDescent="0.25">
      <c r="A6" s="2" t="s">
        <v>3</v>
      </c>
      <c r="B6">
        <f>$B$2/($B$3+B4)</f>
        <v>7.4999999999999997E-3</v>
      </c>
      <c r="C6">
        <f t="shared" ref="C6:F6" si="1">$B$2/($B$3+C4)</f>
        <v>7.2727272727272727E-3</v>
      </c>
      <c r="D6">
        <f t="shared" si="1"/>
        <v>7.0588235294117641E-3</v>
      </c>
      <c r="E6">
        <f t="shared" si="1"/>
        <v>6.6666666666666662E-3</v>
      </c>
      <c r="F6">
        <f t="shared" si="1"/>
        <v>6.0000000000000001E-3</v>
      </c>
      <c r="G6">
        <f>$B$2/($B$3+G4)</f>
        <v>3.7499999999999999E-3</v>
      </c>
      <c r="H6">
        <f>$B$2/($B$3+H4)</f>
        <v>1.5E-3</v>
      </c>
      <c r="I6">
        <f>$B$2/($B$3+I4)</f>
        <v>8.3333333333333328E-4</v>
      </c>
      <c r="J6">
        <f>$B$2/($B$3+J4)</f>
        <v>4.5112781954887219E-4</v>
      </c>
      <c r="L6">
        <f>B6*1000</f>
        <v>7.5</v>
      </c>
      <c r="M6">
        <f t="shared" ref="M6:R6" si="2">C6*1000</f>
        <v>7.2727272727272725</v>
      </c>
      <c r="N6">
        <f t="shared" si="2"/>
        <v>7.0588235294117645</v>
      </c>
      <c r="O6">
        <f t="shared" si="2"/>
        <v>6.6666666666666661</v>
      </c>
      <c r="P6">
        <f t="shared" si="2"/>
        <v>6</v>
      </c>
      <c r="Q6">
        <f t="shared" si="2"/>
        <v>3.75</v>
      </c>
      <c r="R6">
        <f t="shared" si="2"/>
        <v>1.5</v>
      </c>
      <c r="S6">
        <f>I6*1000</f>
        <v>0.83333333333333326</v>
      </c>
      <c r="T6">
        <f>J6*1000</f>
        <v>0.45112781954887221</v>
      </c>
    </row>
    <row r="7" spans="1:20" x14ac:dyDescent="0.25">
      <c r="A7" s="2" t="s">
        <v>4</v>
      </c>
      <c r="B7" s="3">
        <f>B6*B4</f>
        <v>0</v>
      </c>
      <c r="C7" s="3">
        <f t="shared" ref="C7:F7" si="3">C6*C4</f>
        <v>7.2727272727272724E-2</v>
      </c>
      <c r="D7" s="3">
        <f t="shared" si="3"/>
        <v>0.14117647058823529</v>
      </c>
      <c r="E7" s="3">
        <f t="shared" si="3"/>
        <v>0.26666666666666666</v>
      </c>
      <c r="F7" s="3">
        <f t="shared" si="3"/>
        <v>0.48</v>
      </c>
      <c r="G7" s="3">
        <f>G6*G4</f>
        <v>1.2</v>
      </c>
      <c r="H7" s="3">
        <f>H6*H4</f>
        <v>1.92</v>
      </c>
      <c r="I7" s="3">
        <f>I6*I4</f>
        <v>2.1333333333333333</v>
      </c>
      <c r="J7" s="3">
        <f>J6*J4</f>
        <v>2.255639097744361</v>
      </c>
    </row>
    <row r="8" spans="1:20" x14ac:dyDescent="0.25">
      <c r="A8" s="2" t="s">
        <v>5</v>
      </c>
      <c r="B8" s="3">
        <f>$B$2*B6</f>
        <v>1.7999999999999999E-2</v>
      </c>
      <c r="C8" s="3">
        <f t="shared" ref="C8:F8" si="4">$B$2*C6</f>
        <v>1.7454545454545455E-2</v>
      </c>
      <c r="D8" s="3">
        <f t="shared" si="4"/>
        <v>1.6941176470588234E-2</v>
      </c>
      <c r="E8" s="3">
        <f t="shared" si="4"/>
        <v>1.5999999999999997E-2</v>
      </c>
      <c r="F8" s="3">
        <f t="shared" si="4"/>
        <v>1.44E-2</v>
      </c>
      <c r="G8" s="3">
        <f>$B$2*G6</f>
        <v>8.9999999999999993E-3</v>
      </c>
      <c r="H8" s="3">
        <f>$B$2*H6</f>
        <v>3.5999999999999999E-3</v>
      </c>
      <c r="I8" s="3">
        <f>$B$2*I6</f>
        <v>1.9999999999999996E-3</v>
      </c>
      <c r="J8" s="3">
        <f>$B$2*J6</f>
        <v>1.0827067669172932E-3</v>
      </c>
    </row>
    <row r="9" spans="1:20" x14ac:dyDescent="0.25">
      <c r="A9" s="2" t="s">
        <v>6</v>
      </c>
      <c r="B9" s="3">
        <f>B6*B6*$B$3</f>
        <v>1.7999999999999999E-2</v>
      </c>
      <c r="C9" s="3">
        <f t="shared" ref="C9:F9" si="5">C6*C6*$B$3</f>
        <v>1.6925619834710744E-2</v>
      </c>
      <c r="D9" s="3">
        <f t="shared" si="5"/>
        <v>1.5944636678200688E-2</v>
      </c>
      <c r="E9" s="3">
        <f t="shared" si="5"/>
        <v>1.4222222222222221E-2</v>
      </c>
      <c r="F9" s="3">
        <f t="shared" si="5"/>
        <v>1.1520000000000001E-2</v>
      </c>
      <c r="G9" s="3">
        <f>G6*G6*$B$3</f>
        <v>4.4999999999999997E-3</v>
      </c>
      <c r="H9" s="3">
        <f>H6*H6*$B$3</f>
        <v>7.2000000000000005E-4</v>
      </c>
      <c r="I9" s="4">
        <f>I6*I6*$B$3</f>
        <v>2.2222222222222221E-4</v>
      </c>
      <c r="J9" s="4">
        <f>J6*J6*$B$3</f>
        <v>6.5125219062694333E-5</v>
      </c>
    </row>
    <row r="10" spans="1:20" x14ac:dyDescent="0.25">
      <c r="A10" s="2" t="s">
        <v>7</v>
      </c>
      <c r="B10" s="3">
        <f>B6*B6*B4</f>
        <v>0</v>
      </c>
      <c r="C10" s="3">
        <f t="shared" ref="C10:F10" si="6">C6*C6*C4</f>
        <v>5.2892561983471076E-4</v>
      </c>
      <c r="D10" s="3">
        <f t="shared" si="6"/>
        <v>9.9653979238754301E-4</v>
      </c>
      <c r="E10" s="3">
        <f t="shared" si="6"/>
        <v>1.7777777777777776E-3</v>
      </c>
      <c r="F10" s="3">
        <f t="shared" si="6"/>
        <v>2.8800000000000002E-3</v>
      </c>
      <c r="G10" s="3">
        <f>G6*G6*G4</f>
        <v>4.4999999999999997E-3</v>
      </c>
      <c r="H10" s="3">
        <f>H6*H6*H4</f>
        <v>2.8800000000000002E-3</v>
      </c>
      <c r="I10" s="3">
        <f>I6*I6*I4</f>
        <v>1.7777777777777776E-3</v>
      </c>
      <c r="J10" s="3">
        <f>J6*J6*J4</f>
        <v>1.017581547854599E-3</v>
      </c>
    </row>
    <row r="11" spans="1:20" x14ac:dyDescent="0.25">
      <c r="A11" s="2" t="s">
        <v>8</v>
      </c>
      <c r="B11" s="3">
        <f>100*(B10/B8)</f>
        <v>0</v>
      </c>
      <c r="C11" s="3">
        <f t="shared" ref="C11:F11" si="7">100*(C10/C8)</f>
        <v>3.0303030303030303</v>
      </c>
      <c r="D11" s="3">
        <f t="shared" si="7"/>
        <v>5.8823529411764701</v>
      </c>
      <c r="E11" s="3">
        <f t="shared" si="7"/>
        <v>11.111111111111112</v>
      </c>
      <c r="F11" s="3">
        <f t="shared" si="7"/>
        <v>20</v>
      </c>
      <c r="G11" s="3">
        <f>100*(G10/G8)</f>
        <v>50</v>
      </c>
      <c r="H11" s="3">
        <f>100*(H10/H8)</f>
        <v>80</v>
      </c>
      <c r="I11" s="3">
        <f>100*(I10/I8)</f>
        <v>88.8888888888889</v>
      </c>
      <c r="J11" s="3">
        <f>100*(J10/J8)</f>
        <v>93.984962406015043</v>
      </c>
    </row>
    <row r="12" spans="1:20" x14ac:dyDescent="0.25">
      <c r="B12" s="3"/>
      <c r="C12" s="3"/>
      <c r="D12" s="3"/>
      <c r="E12" s="3"/>
      <c r="F12" s="3"/>
      <c r="G12" s="3"/>
      <c r="H12" s="3"/>
      <c r="I12" s="3"/>
      <c r="J12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Yuriy</dc:creator>
  <cp:lastModifiedBy>Yuriy</cp:lastModifiedBy>
  <dcterms:created xsi:type="dcterms:W3CDTF">2025-10-26T14:01:18Z</dcterms:created>
  <dcterms:modified xsi:type="dcterms:W3CDTF">2025-10-26T17:17:40Z</dcterms:modified>
</cp:coreProperties>
</file>