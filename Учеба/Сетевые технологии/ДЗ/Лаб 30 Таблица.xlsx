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Мои документы\Desktop\Уроки\ДЗ\Электротехника\"/>
    </mc:Choice>
  </mc:AlternateContent>
  <xr:revisionPtr revIDLastSave="0" documentId="13_ncr:1_{CBE3DF2C-B6BC-4648-B456-516FD3ABCB84}" xr6:coauthVersionLast="47" xr6:coauthVersionMax="47" xr10:uidLastSave="{00000000-0000-0000-0000-000000000000}"/>
  <bookViews>
    <workbookView xWindow="-120" yWindow="-120" windowWidth="29040" windowHeight="15720" xr2:uid="{820019D0-9927-4525-A5F4-DC0653DFC0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4" i="1"/>
  <c r="P5" i="1"/>
  <c r="P6" i="1"/>
  <c r="P7" i="1"/>
  <c r="P8" i="1"/>
  <c r="P9" i="1"/>
  <c r="P10" i="1"/>
  <c r="P4" i="1"/>
  <c r="O5" i="1"/>
  <c r="O6" i="1"/>
  <c r="O7" i="1"/>
  <c r="O8" i="1"/>
  <c r="O9" i="1"/>
  <c r="O10" i="1"/>
  <c r="O4" i="1"/>
  <c r="N5" i="1"/>
  <c r="N6" i="1"/>
  <c r="N7" i="1"/>
  <c r="N8" i="1"/>
  <c r="N9" i="1"/>
  <c r="N10" i="1"/>
  <c r="N4" i="1"/>
  <c r="K7" i="1"/>
  <c r="E16" i="1"/>
  <c r="E17" i="1"/>
  <c r="E18" i="1"/>
  <c r="E19" i="1"/>
  <c r="E20" i="1"/>
  <c r="E21" i="1"/>
  <c r="E15" i="1"/>
  <c r="F15" i="1"/>
  <c r="E5" i="1"/>
  <c r="E6" i="1"/>
  <c r="E7" i="1"/>
  <c r="C18" i="1" s="1"/>
  <c r="E8" i="1"/>
  <c r="E9" i="1"/>
  <c r="E10" i="1"/>
  <c r="E11" i="1"/>
  <c r="E12" i="1"/>
  <c r="E4" i="1"/>
  <c r="D21" i="1"/>
  <c r="D15" i="1"/>
  <c r="C16" i="1"/>
  <c r="C17" i="1"/>
  <c r="F17" i="1" s="1"/>
  <c r="C21" i="1"/>
  <c r="F21" i="1" s="1"/>
  <c r="C15" i="1"/>
  <c r="K5" i="1"/>
  <c r="K6" i="1"/>
  <c r="K8" i="1"/>
  <c r="K9" i="1"/>
  <c r="K10" i="1"/>
  <c r="K11" i="1"/>
  <c r="K12" i="1"/>
  <c r="K4" i="1"/>
  <c r="F6" i="1"/>
  <c r="F7" i="1"/>
  <c r="F8" i="1" s="1"/>
  <c r="F9" i="1" s="1"/>
  <c r="F10" i="1" s="1"/>
  <c r="F11" i="1" s="1"/>
  <c r="F12" i="1" s="1"/>
  <c r="F5" i="1"/>
  <c r="D18" i="1" l="1"/>
  <c r="F18" i="1"/>
  <c r="D17" i="1"/>
  <c r="F16" i="1"/>
  <c r="D16" i="1"/>
  <c r="C20" i="1"/>
  <c r="C19" i="1"/>
  <c r="D19" i="1" l="1"/>
  <c r="F19" i="1"/>
  <c r="D20" i="1"/>
  <c r="F20" i="1"/>
</calcChain>
</file>

<file path=xl/sharedStrings.xml><?xml version="1.0" encoding="utf-8"?>
<sst xmlns="http://schemas.openxmlformats.org/spreadsheetml/2006/main" count="22" uniqueCount="18">
  <si>
    <t>RC</t>
  </si>
  <si>
    <t>RL</t>
  </si>
  <si>
    <t>R</t>
  </si>
  <si>
    <t>C =</t>
  </si>
  <si>
    <t>L =</t>
  </si>
  <si>
    <t>U</t>
  </si>
  <si>
    <t>t</t>
  </si>
  <si>
    <t>i(t)</t>
  </si>
  <si>
    <t>uc(t)</t>
  </si>
  <si>
    <t>uR(t)</t>
  </si>
  <si>
    <t xml:space="preserve">τ </t>
  </si>
  <si>
    <t>τ</t>
  </si>
  <si>
    <t xml:space="preserve">0,5τ </t>
  </si>
  <si>
    <t xml:space="preserve">1,5τ </t>
  </si>
  <si>
    <t xml:space="preserve">2τ </t>
  </si>
  <si>
    <t xml:space="preserve">2,5τ </t>
  </si>
  <si>
    <t xml:space="preserve">3τ </t>
  </si>
  <si>
    <t>uL(t)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</si>
</sst>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Bahnschrift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righ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Лист1!$E$14</c:f>
              <c:strCache>
                <c:ptCount val="1"/>
                <c:pt idx="0">
                  <c:v>uc(t)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Лист1!$B$23:$B$29</c:f>
              <c:strCache>
                <c:ptCount val="7"/>
                <c:pt idx="0">
                  <c:v>0</c:v>
                </c:pt>
                <c:pt idx="1">
                  <c:v>0,5τ </c:v>
                </c:pt>
                <c:pt idx="2">
                  <c:v>τ </c:v>
                </c:pt>
                <c:pt idx="3">
                  <c:v>1,5τ </c:v>
                </c:pt>
                <c:pt idx="4">
                  <c:v>2τ </c:v>
                </c:pt>
                <c:pt idx="5">
                  <c:v>2,5τ </c:v>
                </c:pt>
                <c:pt idx="6">
                  <c:v>3τ </c:v>
                </c:pt>
              </c:strCache>
            </c:strRef>
          </c:cat>
          <c:val>
            <c:numRef>
              <c:f>Лист1!$E$15:$E$21</c:f>
              <c:numCache>
                <c:formatCode>General</c:formatCode>
                <c:ptCount val="7"/>
                <c:pt idx="0">
                  <c:v>0</c:v>
                </c:pt>
                <c:pt idx="1">
                  <c:v>0.39346934028736669</c:v>
                </c:pt>
                <c:pt idx="2">
                  <c:v>0.63212055882855778</c:v>
                </c:pt>
                <c:pt idx="3">
                  <c:v>0.77686983985157021</c:v>
                </c:pt>
                <c:pt idx="4">
                  <c:v>0.86466471676338741</c:v>
                </c:pt>
                <c:pt idx="5">
                  <c:v>0.91791500137610127</c:v>
                </c:pt>
                <c:pt idx="6">
                  <c:v>0.95021293163213605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E-4E0D-A261-FC29D7FBF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349055"/>
        <c:axId val="10293514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Лист1!$B$23:$B$29</c15:sqref>
                        </c15:formulaRef>
                      </c:ext>
                    </c:extLst>
                    <c:strCache>
                      <c:ptCount val="7"/>
                      <c:pt idx="0">
                        <c:v>0</c:v>
                      </c:pt>
                      <c:pt idx="1">
                        <c:v>0,5τ </c:v>
                      </c:pt>
                      <c:pt idx="2">
                        <c:v>τ </c:v>
                      </c:pt>
                      <c:pt idx="3">
                        <c:v>1,5τ </c:v>
                      </c:pt>
                      <c:pt idx="4">
                        <c:v>2τ </c:v>
                      </c:pt>
                      <c:pt idx="5">
                        <c:v>2,5τ </c:v>
                      </c:pt>
                      <c:pt idx="6">
                        <c:v>3τ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Лист1!$B$23:$B$29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D7E-4E0D-A261-FC29D7FBF40B}"/>
                  </c:ext>
                </c:extLst>
              </c15:ser>
            </c15:filteredLineSeries>
          </c:ext>
        </c:extLst>
      </c:lineChart>
      <c:catAx>
        <c:axId val="10293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351455"/>
        <c:crosses val="autoZero"/>
        <c:auto val="1"/>
        <c:lblAlgn val="ctr"/>
        <c:lblOffset val="100"/>
        <c:noMultiLvlLbl val="0"/>
      </c:catAx>
      <c:valAx>
        <c:axId val="10293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34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Лист1!$D$14</c:f>
              <c:strCache>
                <c:ptCount val="1"/>
                <c:pt idx="0">
                  <c:v>i(t)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Лист1!$B$23:$B$29</c:f>
              <c:strCache>
                <c:ptCount val="7"/>
                <c:pt idx="0">
                  <c:v>0</c:v>
                </c:pt>
                <c:pt idx="1">
                  <c:v>0,5τ </c:v>
                </c:pt>
                <c:pt idx="2">
                  <c:v>τ </c:v>
                </c:pt>
                <c:pt idx="3">
                  <c:v>1,5τ </c:v>
                </c:pt>
                <c:pt idx="4">
                  <c:v>2τ </c:v>
                </c:pt>
                <c:pt idx="5">
                  <c:v>2,5τ </c:v>
                </c:pt>
                <c:pt idx="6">
                  <c:v>3τ </c:v>
                </c:pt>
              </c:strCache>
            </c:strRef>
          </c:cat>
          <c:val>
            <c:numRef>
              <c:f>Лист1!$D$15:$D$21</c:f>
              <c:numCache>
                <c:formatCode>General</c:formatCode>
                <c:ptCount val="7"/>
                <c:pt idx="0">
                  <c:v>6.2500000000000003E-3</c:v>
                </c:pt>
                <c:pt idx="1">
                  <c:v>3.7908166232039583E-3</c:v>
                </c:pt>
                <c:pt idx="2">
                  <c:v>2.2992465073215138E-3</c:v>
                </c:pt>
                <c:pt idx="3">
                  <c:v>1.3945635009276862E-3</c:v>
                </c:pt>
                <c:pt idx="4">
                  <c:v>8.4584552022882889E-4</c:v>
                </c:pt>
                <c:pt idx="5">
                  <c:v>5.1303124139936724E-4</c:v>
                </c:pt>
                <c:pt idx="6">
                  <c:v>3.1116917729914957E-4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4-4495-8E80-EA43C25E6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799823"/>
        <c:axId val="994799343"/>
      </c:lineChart>
      <c:catAx>
        <c:axId val="99479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799343"/>
        <c:crosses val="autoZero"/>
        <c:auto val="1"/>
        <c:lblAlgn val="ctr"/>
        <c:lblOffset val="100"/>
        <c:noMultiLvlLbl val="0"/>
      </c:catAx>
      <c:valAx>
        <c:axId val="99479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79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Лист1!$F$14</c:f>
              <c:strCache>
                <c:ptCount val="1"/>
                <c:pt idx="0">
                  <c:v>uR(t)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Лист1!$B$23:$B$29</c:f>
              <c:strCache>
                <c:ptCount val="7"/>
                <c:pt idx="0">
                  <c:v>0</c:v>
                </c:pt>
                <c:pt idx="1">
                  <c:v>0,5τ </c:v>
                </c:pt>
                <c:pt idx="2">
                  <c:v>τ </c:v>
                </c:pt>
                <c:pt idx="3">
                  <c:v>1,5τ </c:v>
                </c:pt>
                <c:pt idx="4">
                  <c:v>2τ </c:v>
                </c:pt>
                <c:pt idx="5">
                  <c:v>2,5τ </c:v>
                </c:pt>
                <c:pt idx="6">
                  <c:v>3τ </c:v>
                </c:pt>
              </c:strCache>
            </c:strRef>
          </c:cat>
          <c:val>
            <c:numRef>
              <c:f>Лист1!$F$15:$F$21</c:f>
              <c:numCache>
                <c:formatCode>General</c:formatCode>
                <c:ptCount val="7"/>
                <c:pt idx="0">
                  <c:v>1</c:v>
                </c:pt>
                <c:pt idx="1">
                  <c:v>0.60653065971263331</c:v>
                </c:pt>
                <c:pt idx="2">
                  <c:v>0.36787944117144222</c:v>
                </c:pt>
                <c:pt idx="3">
                  <c:v>0.22313016014842979</c:v>
                </c:pt>
                <c:pt idx="4">
                  <c:v>0.13533528323661262</c:v>
                </c:pt>
                <c:pt idx="5">
                  <c:v>8.2084998623898758E-2</c:v>
                </c:pt>
                <c:pt idx="6">
                  <c:v>4.9787068367863924E-2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C-4104-B9A7-E064EAD31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099007"/>
        <c:axId val="114809948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Лист1!$B$23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Лист1!$B$23:$B$29</c15:sqref>
                        </c15:formulaRef>
                      </c:ext>
                    </c:extLst>
                    <c:strCache>
                      <c:ptCount val="7"/>
                      <c:pt idx="0">
                        <c:v>0</c:v>
                      </c:pt>
                      <c:pt idx="1">
                        <c:v>0,5τ </c:v>
                      </c:pt>
                      <c:pt idx="2">
                        <c:v>τ </c:v>
                      </c:pt>
                      <c:pt idx="3">
                        <c:v>1,5τ </c:v>
                      </c:pt>
                      <c:pt idx="4">
                        <c:v>2τ </c:v>
                      </c:pt>
                      <c:pt idx="5">
                        <c:v>2,5τ </c:v>
                      </c:pt>
                      <c:pt idx="6">
                        <c:v>3τ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Лист1!$B$24:$B$29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5BC-4104-B9A7-E064EAD319E9}"/>
                  </c:ext>
                </c:extLst>
              </c15:ser>
            </c15:filteredLineSeries>
          </c:ext>
        </c:extLst>
      </c:lineChart>
      <c:catAx>
        <c:axId val="114809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8099487"/>
        <c:crosses val="autoZero"/>
        <c:auto val="1"/>
        <c:lblAlgn val="ctr"/>
        <c:lblOffset val="100"/>
        <c:noMultiLvlLbl val="0"/>
      </c:catAx>
      <c:valAx>
        <c:axId val="114809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80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Лист1!$O$3</c:f>
              <c:strCache>
                <c:ptCount val="1"/>
                <c:pt idx="0">
                  <c:v>i(t)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Лист1!$B$23:$B$29</c:f>
              <c:strCache>
                <c:ptCount val="7"/>
                <c:pt idx="0">
                  <c:v>0</c:v>
                </c:pt>
                <c:pt idx="1">
                  <c:v>0,5τ </c:v>
                </c:pt>
                <c:pt idx="2">
                  <c:v>τ </c:v>
                </c:pt>
                <c:pt idx="3">
                  <c:v>1,5τ </c:v>
                </c:pt>
                <c:pt idx="4">
                  <c:v>2τ </c:v>
                </c:pt>
                <c:pt idx="5">
                  <c:v>2,5τ </c:v>
                </c:pt>
                <c:pt idx="6">
                  <c:v>3τ </c:v>
                </c:pt>
              </c:strCache>
            </c:strRef>
          </c:cat>
          <c:val>
            <c:numRef>
              <c:f>Лист1!$O$4:$O$10</c:f>
              <c:numCache>
                <c:formatCode>General</c:formatCode>
                <c:ptCount val="7"/>
                <c:pt idx="0">
                  <c:v>0</c:v>
                </c:pt>
                <c:pt idx="1">
                  <c:v>2.4507499728773255E-3</c:v>
                </c:pt>
                <c:pt idx="2">
                  <c:v>3.9487088093918127E-3</c:v>
                </c:pt>
                <c:pt idx="3">
                  <c:v>4.8510911010663481E-3</c:v>
                </c:pt>
                <c:pt idx="4">
                  <c:v>5.4026494169646649E-3</c:v>
                </c:pt>
                <c:pt idx="5">
                  <c:v>5.7367406940383066E-3</c:v>
                </c:pt>
                <c:pt idx="6">
                  <c:v>5.9379999308646521E-3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0-4DCD-B3EF-4976E862E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324911"/>
        <c:axId val="115455697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Лист1!$B$23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Лист1!$B$23:$B$29</c15:sqref>
                        </c15:formulaRef>
                      </c:ext>
                    </c:extLst>
                    <c:strCache>
                      <c:ptCount val="7"/>
                      <c:pt idx="0">
                        <c:v>0</c:v>
                      </c:pt>
                      <c:pt idx="1">
                        <c:v>0,5τ </c:v>
                      </c:pt>
                      <c:pt idx="2">
                        <c:v>τ </c:v>
                      </c:pt>
                      <c:pt idx="3">
                        <c:v>1,5τ </c:v>
                      </c:pt>
                      <c:pt idx="4">
                        <c:v>2τ </c:v>
                      </c:pt>
                      <c:pt idx="5">
                        <c:v>2,5τ </c:v>
                      </c:pt>
                      <c:pt idx="6">
                        <c:v>3τ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Лист1!$B$24:$B$29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6F0-4DCD-B3EF-4976E862EF8F}"/>
                  </c:ext>
                </c:extLst>
              </c15:ser>
            </c15:filteredLineSeries>
          </c:ext>
        </c:extLst>
      </c:lineChart>
      <c:catAx>
        <c:axId val="115232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4556975"/>
        <c:crosses val="autoZero"/>
        <c:auto val="1"/>
        <c:lblAlgn val="ctr"/>
        <c:lblOffset val="100"/>
        <c:noMultiLvlLbl val="0"/>
      </c:catAx>
      <c:valAx>
        <c:axId val="115455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232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Лист1!$P$3</c:f>
              <c:strCache>
                <c:ptCount val="1"/>
                <c:pt idx="0">
                  <c:v>uL(t)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Лист1!$B$23:$B$29</c:f>
              <c:strCache>
                <c:ptCount val="7"/>
                <c:pt idx="0">
                  <c:v>0</c:v>
                </c:pt>
                <c:pt idx="1">
                  <c:v>0,5τ </c:v>
                </c:pt>
                <c:pt idx="2">
                  <c:v>τ </c:v>
                </c:pt>
                <c:pt idx="3">
                  <c:v>1,5τ </c:v>
                </c:pt>
                <c:pt idx="4">
                  <c:v>2τ </c:v>
                </c:pt>
                <c:pt idx="5">
                  <c:v>2,5τ </c:v>
                </c:pt>
                <c:pt idx="6">
                  <c:v>3τ </c:v>
                </c:pt>
              </c:strCache>
            </c:strRef>
          </c:cat>
          <c:val>
            <c:numRef>
              <c:f>Лист1!$P$4:$P$10</c:f>
              <c:numCache>
                <c:formatCode>General</c:formatCode>
                <c:ptCount val="7"/>
                <c:pt idx="0">
                  <c:v>1</c:v>
                </c:pt>
                <c:pt idx="1">
                  <c:v>0.60788000433962797</c:v>
                </c:pt>
                <c:pt idx="2">
                  <c:v>0.36820659049730992</c:v>
                </c:pt>
                <c:pt idx="3">
                  <c:v>0.22382542382938436</c:v>
                </c:pt>
                <c:pt idx="4">
                  <c:v>0.1355760932856537</c:v>
                </c:pt>
                <c:pt idx="5">
                  <c:v>8.2121488953870947E-2</c:v>
                </c:pt>
                <c:pt idx="6">
                  <c:v>4.9920011061655778E-2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9-437E-9D21-FEE68424E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758879"/>
        <c:axId val="9977598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Лист1!$B$23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Лист1!$B$23:$B$29</c15:sqref>
                        </c15:formulaRef>
                      </c:ext>
                    </c:extLst>
                    <c:strCache>
                      <c:ptCount val="7"/>
                      <c:pt idx="0">
                        <c:v>0</c:v>
                      </c:pt>
                      <c:pt idx="1">
                        <c:v>0,5τ </c:v>
                      </c:pt>
                      <c:pt idx="2">
                        <c:v>τ </c:v>
                      </c:pt>
                      <c:pt idx="3">
                        <c:v>1,5τ </c:v>
                      </c:pt>
                      <c:pt idx="4">
                        <c:v>2τ </c:v>
                      </c:pt>
                      <c:pt idx="5">
                        <c:v>2,5τ </c:v>
                      </c:pt>
                      <c:pt idx="6">
                        <c:v>3τ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Лист1!$B$24:$B$29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209-437E-9D21-FEE68424E14A}"/>
                  </c:ext>
                </c:extLst>
              </c15:ser>
            </c15:filteredLineSeries>
          </c:ext>
        </c:extLst>
      </c:lineChart>
      <c:catAx>
        <c:axId val="99775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7759839"/>
        <c:crosses val="autoZero"/>
        <c:auto val="1"/>
        <c:lblAlgn val="ctr"/>
        <c:lblOffset val="100"/>
        <c:noMultiLvlLbl val="0"/>
      </c:catAx>
      <c:valAx>
        <c:axId val="9977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775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Лист1!$Q$3</c:f>
              <c:strCache>
                <c:ptCount val="1"/>
                <c:pt idx="0">
                  <c:v>uR(t)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Лист1!$B$23:$B$29</c:f>
              <c:strCache>
                <c:ptCount val="7"/>
                <c:pt idx="0">
                  <c:v>0</c:v>
                </c:pt>
                <c:pt idx="1">
                  <c:v>0,5τ </c:v>
                </c:pt>
                <c:pt idx="2">
                  <c:v>τ </c:v>
                </c:pt>
                <c:pt idx="3">
                  <c:v>1,5τ </c:v>
                </c:pt>
                <c:pt idx="4">
                  <c:v>2τ </c:v>
                </c:pt>
                <c:pt idx="5">
                  <c:v>2,5τ </c:v>
                </c:pt>
                <c:pt idx="6">
                  <c:v>3τ </c:v>
                </c:pt>
              </c:strCache>
            </c:strRef>
          </c:cat>
          <c:val>
            <c:numRef>
              <c:f>Лист1!$Q$4:$Q$10</c:f>
              <c:numCache>
                <c:formatCode>General</c:formatCode>
                <c:ptCount val="7"/>
                <c:pt idx="0">
                  <c:v>0</c:v>
                </c:pt>
                <c:pt idx="1">
                  <c:v>0.39211999566037203</c:v>
                </c:pt>
                <c:pt idx="2">
                  <c:v>0.63179340950269003</c:v>
                </c:pt>
                <c:pt idx="3">
                  <c:v>0.77617457617061558</c:v>
                </c:pt>
                <c:pt idx="4">
                  <c:v>0.86442390671434632</c:v>
                </c:pt>
                <c:pt idx="5">
                  <c:v>0.91787851104612905</c:v>
                </c:pt>
                <c:pt idx="6">
                  <c:v>0.95007998893834422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9-486D-951F-CE3F12664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763039"/>
        <c:axId val="11407635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Лист1!$B$23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Лист1!$B$23:$B$29</c15:sqref>
                        </c15:formulaRef>
                      </c:ext>
                    </c:extLst>
                    <c:strCache>
                      <c:ptCount val="7"/>
                      <c:pt idx="0">
                        <c:v>0</c:v>
                      </c:pt>
                      <c:pt idx="1">
                        <c:v>0,5τ </c:v>
                      </c:pt>
                      <c:pt idx="2">
                        <c:v>τ </c:v>
                      </c:pt>
                      <c:pt idx="3">
                        <c:v>1,5τ </c:v>
                      </c:pt>
                      <c:pt idx="4">
                        <c:v>2τ </c:v>
                      </c:pt>
                      <c:pt idx="5">
                        <c:v>2,5τ </c:v>
                      </c:pt>
                      <c:pt idx="6">
                        <c:v>3τ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Лист1!$B$24:$B$29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199-486D-951F-CE3F12664E2B}"/>
                  </c:ext>
                </c:extLst>
              </c15:ser>
            </c15:filteredLineSeries>
          </c:ext>
        </c:extLst>
      </c:lineChart>
      <c:catAx>
        <c:axId val="114076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0763519"/>
        <c:crosses val="autoZero"/>
        <c:auto val="1"/>
        <c:lblAlgn val="ctr"/>
        <c:lblOffset val="100"/>
        <c:noMultiLvlLbl val="0"/>
      </c:catAx>
      <c:valAx>
        <c:axId val="114076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076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210535</xdr:colOff>
      <xdr:row>13</xdr:row>
      <xdr:rowOff>16586</xdr:rowOff>
    </xdr:from>
    <xdr:ext cx="238527" cy="252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9BA661-F7D4-AD29-2D28-2A0C721F594A}"/>
                </a:ext>
              </a:extLst>
            </xdr:cNvPr>
            <xdr:cNvSpPr txBox="1"/>
          </xdr:nvSpPr>
          <xdr:spPr>
            <a:xfrm>
              <a:off x="1429735" y="2493086"/>
              <a:ext cx="238527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</a:rPr>
                              <m:t>τ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9BA661-F7D4-AD29-2D28-2A0C721F594A}"/>
                </a:ext>
              </a:extLst>
            </xdr:cNvPr>
            <xdr:cNvSpPr txBox="1"/>
          </xdr:nvSpPr>
          <xdr:spPr>
            <a:xfrm>
              <a:off x="1429735" y="2493086"/>
              <a:ext cx="238527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𝑒^(−𝑡/</a:t>
              </a:r>
              <a:r>
                <a:rPr lang="el-GR" sz="1100" b="0" i="0">
                  <a:latin typeface="Cambria Math" panose="02040503050406030204" pitchFamily="18" charset="0"/>
                </a:rPr>
                <a:t>τ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8</xdr:col>
      <xdr:colOff>0</xdr:colOff>
      <xdr:row>31</xdr:row>
      <xdr:rowOff>14286</xdr:rowOff>
    </xdr:from>
    <xdr:to>
      <xdr:col>17</xdr:col>
      <xdr:colOff>9525</xdr:colOff>
      <xdr:row>47</xdr:row>
      <xdr:rowOff>19049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66B655E7-66F2-4CDA-0DC3-775985DDD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13</xdr:row>
      <xdr:rowOff>223837</xdr:rowOff>
    </xdr:from>
    <xdr:to>
      <xdr:col>16</xdr:col>
      <xdr:colOff>600074</xdr:colOff>
      <xdr:row>30</xdr:row>
      <xdr:rowOff>9525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792766E3-000B-6BCC-E6A2-F166D755A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600074</xdr:colOff>
      <xdr:row>47</xdr:row>
      <xdr:rowOff>185736</xdr:rowOff>
    </xdr:from>
    <xdr:to>
      <xdr:col>17</xdr:col>
      <xdr:colOff>9524</xdr:colOff>
      <xdr:row>64</xdr:row>
      <xdr:rowOff>190499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7918C619-8DC5-95EE-269C-EBA156529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210535</xdr:colOff>
      <xdr:row>2</xdr:row>
      <xdr:rowOff>16586</xdr:rowOff>
    </xdr:from>
    <xdr:ext cx="238527" cy="252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4115418-8BBC-419C-8777-B6206D197498}"/>
                </a:ext>
              </a:extLst>
            </xdr:cNvPr>
            <xdr:cNvSpPr txBox="1"/>
          </xdr:nvSpPr>
          <xdr:spPr>
            <a:xfrm>
              <a:off x="1429735" y="2493086"/>
              <a:ext cx="238527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</a:rPr>
                              <m:t>τ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4115418-8BBC-419C-8777-B6206D197498}"/>
                </a:ext>
              </a:extLst>
            </xdr:cNvPr>
            <xdr:cNvSpPr txBox="1"/>
          </xdr:nvSpPr>
          <xdr:spPr>
            <a:xfrm>
              <a:off x="1429735" y="2493086"/>
              <a:ext cx="238527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𝑒^(−𝑡/</a:t>
              </a:r>
              <a:r>
                <a:rPr lang="el-GR" sz="1100" b="0" i="0">
                  <a:latin typeface="Cambria Math" panose="02040503050406030204" pitchFamily="18" charset="0"/>
                </a:rPr>
                <a:t>τ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18</xdr:col>
      <xdr:colOff>9525</xdr:colOff>
      <xdr:row>2</xdr:row>
      <xdr:rowOff>4762</xdr:rowOff>
    </xdr:from>
    <xdr:to>
      <xdr:col>27</xdr:col>
      <xdr:colOff>9525</xdr:colOff>
      <xdr:row>17</xdr:row>
      <xdr:rowOff>47625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208FDFD8-3FE9-E3EE-1802-865F7B352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609599</xdr:colOff>
      <xdr:row>18</xdr:row>
      <xdr:rowOff>14287</xdr:rowOff>
    </xdr:from>
    <xdr:to>
      <xdr:col>27</xdr:col>
      <xdr:colOff>9524</xdr:colOff>
      <xdr:row>34</xdr:row>
      <xdr:rowOff>9525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077BB575-E671-C4A9-5E74-C3AD62106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600074</xdr:colOff>
      <xdr:row>34</xdr:row>
      <xdr:rowOff>166686</xdr:rowOff>
    </xdr:from>
    <xdr:to>
      <xdr:col>26</xdr:col>
      <xdr:colOff>571499</xdr:colOff>
      <xdr:row>51</xdr:row>
      <xdr:rowOff>190499</xdr:rowOff>
    </xdr:to>
    <xdr:graphicFrame macro="">
      <xdr:nvGraphicFramePr>
        <xdr:cNvPr id="32" name="Диаграмма 31">
          <a:extLst>
            <a:ext uri="{FF2B5EF4-FFF2-40B4-BE49-F238E27FC236}">
              <a16:creationId xmlns:a16="http://schemas.microsoft.com/office/drawing/2014/main" id="{90ABCB6F-3A30-D0D8-6CD4-69B4484E5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1F79-D188-4FE7-8E7E-54B651D86237}">
  <dimension ref="B3:Q29"/>
  <sheetViews>
    <sheetView tabSelected="1" zoomScaleNormal="100" workbookViewId="0">
      <selection activeCell="R21" sqref="R21"/>
    </sheetView>
  </sheetViews>
  <sheetFormatPr defaultRowHeight="15" x14ac:dyDescent="0.25"/>
  <cols>
    <col min="3" max="3" width="11" bestFit="1" customWidth="1"/>
    <col min="11" max="11" width="12.140625" customWidth="1"/>
  </cols>
  <sheetData>
    <row r="3" spans="2:17" ht="21.75" customHeight="1" x14ac:dyDescent="0.25">
      <c r="C3" s="1" t="s">
        <v>0</v>
      </c>
      <c r="E3" s="7" t="s">
        <v>10</v>
      </c>
      <c r="F3" s="1" t="s">
        <v>2</v>
      </c>
      <c r="G3" s="6" t="s">
        <v>5</v>
      </c>
      <c r="I3" s="1" t="s">
        <v>1</v>
      </c>
      <c r="K3" s="7" t="s">
        <v>11</v>
      </c>
      <c r="M3" s="6" t="s">
        <v>6</v>
      </c>
      <c r="N3" s="1"/>
      <c r="O3" s="6" t="s">
        <v>7</v>
      </c>
      <c r="P3" s="6" t="s">
        <v>17</v>
      </c>
      <c r="Q3" s="6" t="s">
        <v>9</v>
      </c>
    </row>
    <row r="4" spans="2:17" x14ac:dyDescent="0.25">
      <c r="B4" s="2" t="s">
        <v>3</v>
      </c>
      <c r="C4">
        <v>2.4999999999999999E-7</v>
      </c>
      <c r="E4" s="1">
        <f>$C$4*F4</f>
        <v>4.9999999999999996E-6</v>
      </c>
      <c r="F4" s="1">
        <v>20</v>
      </c>
      <c r="G4" s="1">
        <v>1</v>
      </c>
      <c r="H4" s="3" t="s">
        <v>4</v>
      </c>
      <c r="I4">
        <v>4.4999999999999998E-2</v>
      </c>
      <c r="K4" s="4">
        <f>$I$4/F4*1000000</f>
        <v>2250</v>
      </c>
      <c r="M4">
        <v>0</v>
      </c>
      <c r="N4">
        <f>EXP(-M4/($K$7/1000000))</f>
        <v>1</v>
      </c>
      <c r="O4">
        <f>$G$4/$F$7*(1-N4)</f>
        <v>0</v>
      </c>
      <c r="P4">
        <f>$G$4*N4</f>
        <v>1</v>
      </c>
      <c r="Q4">
        <f>$G$4*(1-N4)</f>
        <v>0</v>
      </c>
    </row>
    <row r="5" spans="2:17" x14ac:dyDescent="0.25">
      <c r="E5" s="1">
        <f t="shared" ref="E5:E12" si="0">$C$4*F5</f>
        <v>9.9999999999999991E-6</v>
      </c>
      <c r="F5" s="1">
        <f>F4*2</f>
        <v>40</v>
      </c>
      <c r="K5" s="4">
        <f t="shared" ref="K5:K12" si="1">$I$4/F5*1000000</f>
        <v>1125</v>
      </c>
      <c r="M5">
        <v>1.3999999999999999E-4</v>
      </c>
      <c r="N5">
        <f t="shared" ref="N5:N10" si="2">EXP(-M5/($K$7/1000000))</f>
        <v>0.60788000433962797</v>
      </c>
      <c r="O5">
        <f t="shared" ref="O5:O10" si="3">$G$4/$F$7*(1-N5)</f>
        <v>2.4507499728773255E-3</v>
      </c>
      <c r="P5">
        <f t="shared" ref="P5:P10" si="4">$G$4*N5</f>
        <v>0.60788000433962797</v>
      </c>
      <c r="Q5">
        <f t="shared" ref="Q5:Q10" si="5">$G$4*(1-N5)</f>
        <v>0.39211999566037203</v>
      </c>
    </row>
    <row r="6" spans="2:17" x14ac:dyDescent="0.25">
      <c r="E6" s="1">
        <f t="shared" si="0"/>
        <v>1.9999999999999998E-5</v>
      </c>
      <c r="F6" s="1">
        <f t="shared" ref="F6:F12" si="6">F5*2</f>
        <v>80</v>
      </c>
      <c r="K6" s="4">
        <f t="shared" si="1"/>
        <v>562.5</v>
      </c>
      <c r="M6">
        <v>2.81E-4</v>
      </c>
      <c r="N6">
        <f t="shared" si="2"/>
        <v>0.36820659049730992</v>
      </c>
      <c r="O6">
        <f t="shared" si="3"/>
        <v>3.9487088093918127E-3</v>
      </c>
      <c r="P6">
        <f t="shared" si="4"/>
        <v>0.36820659049730992</v>
      </c>
      <c r="Q6">
        <f t="shared" si="5"/>
        <v>0.63179340950269003</v>
      </c>
    </row>
    <row r="7" spans="2:17" x14ac:dyDescent="0.25">
      <c r="E7" s="1">
        <f t="shared" si="0"/>
        <v>3.9999999999999996E-5</v>
      </c>
      <c r="F7" s="1">
        <f t="shared" si="6"/>
        <v>160</v>
      </c>
      <c r="K7" s="4">
        <f t="shared" si="1"/>
        <v>281.25</v>
      </c>
      <c r="M7">
        <v>4.2099999999999999E-4</v>
      </c>
      <c r="N7">
        <f t="shared" si="2"/>
        <v>0.22382542382938436</v>
      </c>
      <c r="O7">
        <f t="shared" si="3"/>
        <v>4.8510911010663481E-3</v>
      </c>
      <c r="P7">
        <f t="shared" si="4"/>
        <v>0.22382542382938436</v>
      </c>
      <c r="Q7">
        <f t="shared" si="5"/>
        <v>0.77617457617061558</v>
      </c>
    </row>
    <row r="8" spans="2:17" x14ac:dyDescent="0.25">
      <c r="E8" s="1">
        <f t="shared" si="0"/>
        <v>7.9999999999999993E-5</v>
      </c>
      <c r="F8" s="1">
        <f t="shared" si="6"/>
        <v>320</v>
      </c>
      <c r="K8" s="4">
        <f t="shared" si="1"/>
        <v>140.625</v>
      </c>
      <c r="M8">
        <v>5.62E-4</v>
      </c>
      <c r="N8">
        <f t="shared" si="2"/>
        <v>0.1355760932856537</v>
      </c>
      <c r="O8">
        <f t="shared" si="3"/>
        <v>5.4026494169646649E-3</v>
      </c>
      <c r="P8">
        <f t="shared" si="4"/>
        <v>0.1355760932856537</v>
      </c>
      <c r="Q8">
        <f t="shared" si="5"/>
        <v>0.86442390671434632</v>
      </c>
    </row>
    <row r="9" spans="2:17" x14ac:dyDescent="0.25">
      <c r="E9" s="1">
        <f t="shared" si="0"/>
        <v>1.5999999999999999E-4</v>
      </c>
      <c r="F9" s="1">
        <f t="shared" si="6"/>
        <v>640</v>
      </c>
      <c r="K9" s="4">
        <f t="shared" si="1"/>
        <v>70.3125</v>
      </c>
      <c r="M9">
        <v>7.0299999999999996E-4</v>
      </c>
      <c r="N9">
        <f t="shared" si="2"/>
        <v>8.2121488953870947E-2</v>
      </c>
      <c r="O9">
        <f t="shared" si="3"/>
        <v>5.7367406940383066E-3</v>
      </c>
      <c r="P9">
        <f t="shared" si="4"/>
        <v>8.2121488953870947E-2</v>
      </c>
      <c r="Q9">
        <f t="shared" si="5"/>
        <v>0.91787851104612905</v>
      </c>
    </row>
    <row r="10" spans="2:17" x14ac:dyDescent="0.25">
      <c r="E10" s="1">
        <f t="shared" si="0"/>
        <v>3.1999999999999997E-4</v>
      </c>
      <c r="F10" s="1">
        <f t="shared" si="6"/>
        <v>1280</v>
      </c>
      <c r="K10" s="4">
        <f t="shared" si="1"/>
        <v>35.15625</v>
      </c>
      <c r="M10">
        <v>8.43E-4</v>
      </c>
      <c r="N10">
        <f t="shared" si="2"/>
        <v>4.9920011061655778E-2</v>
      </c>
      <c r="O10">
        <f t="shared" si="3"/>
        <v>5.9379999308646521E-3</v>
      </c>
      <c r="P10">
        <f t="shared" si="4"/>
        <v>4.9920011061655778E-2</v>
      </c>
      <c r="Q10">
        <f t="shared" si="5"/>
        <v>0.95007998893834422</v>
      </c>
    </row>
    <row r="11" spans="2:17" x14ac:dyDescent="0.25">
      <c r="E11" s="1">
        <f t="shared" si="0"/>
        <v>6.3999999999999994E-4</v>
      </c>
      <c r="F11" s="1">
        <f t="shared" si="6"/>
        <v>2560</v>
      </c>
      <c r="K11" s="4">
        <f t="shared" si="1"/>
        <v>17.578125</v>
      </c>
    </row>
    <row r="12" spans="2:17" x14ac:dyDescent="0.25">
      <c r="E12" s="1">
        <f t="shared" si="0"/>
        <v>1.2799999999999999E-3</v>
      </c>
      <c r="F12" s="1">
        <f t="shared" si="6"/>
        <v>5120</v>
      </c>
      <c r="K12" s="4">
        <f t="shared" si="1"/>
        <v>8.7890625</v>
      </c>
    </row>
    <row r="13" spans="2:17" x14ac:dyDescent="0.25">
      <c r="F13" s="1"/>
    </row>
    <row r="14" spans="2:17" ht="18" customHeight="1" x14ac:dyDescent="0.25">
      <c r="B14" s="6" t="s">
        <v>6</v>
      </c>
      <c r="C14" s="1"/>
      <c r="D14" s="6" t="s">
        <v>7</v>
      </c>
      <c r="E14" s="6" t="s">
        <v>8</v>
      </c>
      <c r="F14" s="6" t="s">
        <v>9</v>
      </c>
    </row>
    <row r="15" spans="2:17" x14ac:dyDescent="0.25">
      <c r="B15" s="5">
        <v>0</v>
      </c>
      <c r="C15" s="1">
        <f>EXP(-B15/$E$7)</f>
        <v>1</v>
      </c>
      <c r="D15" s="1">
        <f>$G$4/$F$7*C15</f>
        <v>6.2500000000000003E-3</v>
      </c>
      <c r="E15" s="1">
        <f>$G$4*(1 - C15)</f>
        <v>0</v>
      </c>
      <c r="F15" s="1">
        <f>$G$4*C15</f>
        <v>1</v>
      </c>
    </row>
    <row r="16" spans="2:17" x14ac:dyDescent="0.25">
      <c r="B16" s="5">
        <v>2.0000000000000002E-5</v>
      </c>
      <c r="C16" s="1">
        <f t="shared" ref="C16:C21" si="7">EXP(-B16/$E$7)</f>
        <v>0.60653065971263331</v>
      </c>
      <c r="D16" s="1">
        <f t="shared" ref="D16:D21" si="8">$G$4/$F$7*C16</f>
        <v>3.7908166232039583E-3</v>
      </c>
      <c r="E16" s="1">
        <f t="shared" ref="E16:E21" si="9">$G$4*(1 - C16)</f>
        <v>0.39346934028736669</v>
      </c>
      <c r="F16" s="1">
        <f t="shared" ref="F16:F21" si="10">$G$4*C16</f>
        <v>0.60653065971263331</v>
      </c>
    </row>
    <row r="17" spans="2:6" x14ac:dyDescent="0.25">
      <c r="B17" s="5">
        <v>4.0000000000000003E-5</v>
      </c>
      <c r="C17" s="1">
        <f t="shared" si="7"/>
        <v>0.36787944117144222</v>
      </c>
      <c r="D17" s="1">
        <f t="shared" si="8"/>
        <v>2.2992465073215138E-3</v>
      </c>
      <c r="E17" s="1">
        <f t="shared" si="9"/>
        <v>0.63212055882855778</v>
      </c>
      <c r="F17" s="1">
        <f t="shared" si="10"/>
        <v>0.36787944117144222</v>
      </c>
    </row>
    <row r="18" spans="2:6" x14ac:dyDescent="0.25">
      <c r="B18" s="5">
        <v>6.0000000000000002E-5</v>
      </c>
      <c r="C18" s="1">
        <f t="shared" si="7"/>
        <v>0.22313016014842979</v>
      </c>
      <c r="D18" s="1">
        <f t="shared" si="8"/>
        <v>1.3945635009276862E-3</v>
      </c>
      <c r="E18" s="1">
        <f t="shared" si="9"/>
        <v>0.77686983985157021</v>
      </c>
      <c r="F18" s="1">
        <f t="shared" si="10"/>
        <v>0.22313016014842979</v>
      </c>
    </row>
    <row r="19" spans="2:6" x14ac:dyDescent="0.25">
      <c r="B19" s="5">
        <v>8.0000000000000007E-5</v>
      </c>
      <c r="C19" s="1">
        <f t="shared" si="7"/>
        <v>0.13533528323661262</v>
      </c>
      <c r="D19" s="1">
        <f t="shared" si="8"/>
        <v>8.4584552022882889E-4</v>
      </c>
      <c r="E19" s="1">
        <f t="shared" si="9"/>
        <v>0.86466471676338741</v>
      </c>
      <c r="F19" s="1">
        <f t="shared" si="10"/>
        <v>0.13533528323661262</v>
      </c>
    </row>
    <row r="20" spans="2:6" x14ac:dyDescent="0.25">
      <c r="B20" s="5">
        <v>1E-4</v>
      </c>
      <c r="C20" s="1">
        <f t="shared" si="7"/>
        <v>8.2084998623898758E-2</v>
      </c>
      <c r="D20" s="1">
        <f t="shared" si="8"/>
        <v>5.1303124139936724E-4</v>
      </c>
      <c r="E20" s="1">
        <f t="shared" si="9"/>
        <v>0.91791500137610127</v>
      </c>
      <c r="F20" s="1">
        <f t="shared" si="10"/>
        <v>8.2084998623898758E-2</v>
      </c>
    </row>
    <row r="21" spans="2:6" x14ac:dyDescent="0.25">
      <c r="B21" s="5">
        <v>1.2E-4</v>
      </c>
      <c r="C21" s="1">
        <f t="shared" si="7"/>
        <v>4.9787068367863924E-2</v>
      </c>
      <c r="D21" s="1">
        <f t="shared" si="8"/>
        <v>3.1116917729914957E-4</v>
      </c>
      <c r="E21" s="1">
        <f t="shared" si="9"/>
        <v>0.95021293163213605</v>
      </c>
      <c r="F21" s="1">
        <f t="shared" si="10"/>
        <v>4.9787068367863924E-2</v>
      </c>
    </row>
    <row r="22" spans="2:6" x14ac:dyDescent="0.25">
      <c r="F22" s="1"/>
    </row>
    <row r="23" spans="2:6" x14ac:dyDescent="0.25">
      <c r="B23" s="8">
        <v>0</v>
      </c>
      <c r="F23" s="1"/>
    </row>
    <row r="24" spans="2:6" x14ac:dyDescent="0.25">
      <c r="B24" s="8" t="s">
        <v>12</v>
      </c>
      <c r="F24" s="1"/>
    </row>
    <row r="25" spans="2:6" x14ac:dyDescent="0.25">
      <c r="B25" s="8" t="s">
        <v>10</v>
      </c>
      <c r="F25" s="1"/>
    </row>
    <row r="26" spans="2:6" x14ac:dyDescent="0.25">
      <c r="B26" s="8" t="s">
        <v>13</v>
      </c>
      <c r="F26" s="1"/>
    </row>
    <row r="27" spans="2:6" x14ac:dyDescent="0.25">
      <c r="B27" s="8" t="s">
        <v>14</v>
      </c>
      <c r="F27" s="1"/>
    </row>
    <row r="28" spans="2:6" x14ac:dyDescent="0.25">
      <c r="B28" s="8" t="s">
        <v>15</v>
      </c>
      <c r="F28" s="1"/>
    </row>
    <row r="29" spans="2:6" x14ac:dyDescent="0.25">
      <c r="B29" s="8" t="s">
        <v>16</v>
      </c>
      <c r="F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Черников Юрий</dc:creator>
  <cp:lastModifiedBy>Черников Юрий</cp:lastModifiedBy>
  <dcterms:created xsi:type="dcterms:W3CDTF">2025-11-18T14:56:50Z</dcterms:created>
  <dcterms:modified xsi:type="dcterms:W3CDTF">2025-11-20T17:55:13Z</dcterms:modified>
</cp:coreProperties>
</file>