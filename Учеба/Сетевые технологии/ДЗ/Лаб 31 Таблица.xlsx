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Мои документы\Desktop\Уроки\ДЗ\Электротехника\"/>
    </mc:Choice>
  </mc:AlternateContent>
  <xr:revisionPtr revIDLastSave="0" documentId="13_ncr:1_{2505AD4D-AAD9-4E89-A7E3-1E95C0B7F4ED}" xr6:coauthVersionLast="47" xr6:coauthVersionMax="47" xr10:uidLastSave="{00000000-0000-0000-0000-000000000000}"/>
  <bookViews>
    <workbookView xWindow="-120" yWindow="-120" windowWidth="29040" windowHeight="15720" xr2:uid="{566570BC-7630-459C-B9C5-6C60394AD9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G21" i="1"/>
  <c r="G16" i="1"/>
  <c r="G17" i="1"/>
  <c r="G18" i="1"/>
  <c r="G19" i="1"/>
  <c r="G20" i="1"/>
  <c r="G15" i="1"/>
  <c r="C13" i="1"/>
  <c r="D13" i="1"/>
  <c r="E13" i="1"/>
  <c r="F13" i="1"/>
  <c r="H13" i="1"/>
  <c r="I13" i="1"/>
  <c r="J13" i="1"/>
  <c r="G13" i="1"/>
  <c r="H16" i="1"/>
  <c r="H17" i="1"/>
  <c r="H18" i="1"/>
  <c r="H19" i="1"/>
  <c r="H20" i="1"/>
  <c r="H15" i="1"/>
  <c r="J8" i="1"/>
  <c r="J9" i="1"/>
  <c r="J10" i="1"/>
  <c r="J11" i="1"/>
  <c r="J12" i="1"/>
  <c r="J7" i="1"/>
  <c r="I8" i="1"/>
  <c r="I9" i="1"/>
  <c r="I10" i="1"/>
  <c r="I11" i="1"/>
  <c r="I12" i="1"/>
  <c r="I7" i="1"/>
  <c r="H8" i="1"/>
  <c r="H9" i="1"/>
  <c r="H10" i="1"/>
  <c r="H11" i="1"/>
  <c r="H12" i="1"/>
  <c r="H7" i="1"/>
  <c r="G8" i="1"/>
  <c r="G9" i="1"/>
  <c r="G10" i="1"/>
  <c r="G11" i="1"/>
  <c r="G12" i="1"/>
  <c r="G7" i="1"/>
  <c r="D8" i="1"/>
  <c r="D9" i="1"/>
  <c r="D10" i="1"/>
  <c r="D11" i="1"/>
  <c r="D12" i="1"/>
  <c r="D7" i="1"/>
  <c r="E8" i="1"/>
  <c r="F8" i="1" s="1"/>
  <c r="E9" i="1"/>
  <c r="F9" i="1" s="1"/>
  <c r="E10" i="1"/>
  <c r="F10" i="1" s="1"/>
  <c r="E11" i="1"/>
  <c r="F11" i="1" s="1"/>
  <c r="E12" i="1"/>
  <c r="F12" i="1" s="1"/>
  <c r="E7" i="1"/>
  <c r="F7" i="1" s="1"/>
  <c r="C8" i="1"/>
  <c r="C9" i="1"/>
  <c r="C10" i="1"/>
  <c r="C11" i="1"/>
  <c r="C12" i="1"/>
  <c r="C7" i="1"/>
  <c r="C4" i="1"/>
</calcChain>
</file>

<file path=xl/sharedStrings.xml><?xml version="1.0" encoding="utf-8"?>
<sst xmlns="http://schemas.openxmlformats.org/spreadsheetml/2006/main" count="17" uniqueCount="17">
  <si>
    <r>
      <t>R</t>
    </r>
    <r>
      <rPr>
        <sz val="8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</t>
    </r>
  </si>
  <si>
    <r>
      <t>L</t>
    </r>
    <r>
      <rPr>
        <sz val="8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</t>
    </r>
  </si>
  <si>
    <t>мГн</t>
  </si>
  <si>
    <t>Ом</t>
  </si>
  <si>
    <t>f, кГц</t>
  </si>
  <si>
    <t>f/fгр</t>
  </si>
  <si>
    <t>ω</t>
  </si>
  <si>
    <r>
      <t>X</t>
    </r>
    <r>
      <rPr>
        <sz val="8"/>
        <color theme="1"/>
        <rFont val="Calibri"/>
        <family val="2"/>
        <charset val="204"/>
        <scheme val="minor"/>
      </rPr>
      <t>L</t>
    </r>
  </si>
  <si>
    <t>Zвх</t>
  </si>
  <si>
    <t>Uвх =</t>
  </si>
  <si>
    <r>
      <t>f</t>
    </r>
    <r>
      <rPr>
        <sz val="8"/>
        <color theme="1"/>
        <rFont val="Calibri"/>
        <family val="2"/>
        <charset val="204"/>
        <scheme val="minor"/>
      </rPr>
      <t xml:space="preserve">гр = </t>
    </r>
  </si>
  <si>
    <t>Ur</t>
  </si>
  <si>
    <t>Ul</t>
  </si>
  <si>
    <t>ϕ(в радианах, для дальнеших расчетов)</t>
  </si>
  <si>
    <t>ϕ(в градусах, для таблицы)</t>
  </si>
  <si>
    <t>Iвх (Ампер, для расчетов)</t>
  </si>
  <si>
    <t>Iвх (милиАмпер, для таблицы)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</si>
</sst>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входного сопротивления цепи от  частоты</a:t>
            </a:r>
            <a:endParaRPr lang="en-US"/>
          </a:p>
        </c:rich>
      </c:tx>
      <c:layout>
        <c:manualLayout>
          <c:xMode val="edge"/>
          <c:yMode val="edge"/>
          <c:x val="0.23356111498720886"/>
          <c:y val="2.5396828218342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Лист1!$F$6</c:f>
              <c:strCache>
                <c:ptCount val="1"/>
                <c:pt idx="0">
                  <c:v>Zвх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Лист1!$B$7:$B$13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Лист1!$F$7:$F$13</c:f>
              <c:numCache>
                <c:formatCode>0.000</c:formatCode>
                <c:ptCount val="7"/>
                <c:pt idx="0">
                  <c:v>574.26055288108989</c:v>
                </c:pt>
                <c:pt idx="1">
                  <c:v>1135.3857187674946</c:v>
                </c:pt>
                <c:pt idx="2">
                  <c:v>1699.4047909069977</c:v>
                </c:pt>
                <c:pt idx="3">
                  <c:v>2264.1561168622452</c:v>
                </c:pt>
                <c:pt idx="4">
                  <c:v>2829.2012238231446</c:v>
                </c:pt>
                <c:pt idx="5">
                  <c:v>3394.3934028675321</c:v>
                </c:pt>
                <c:pt idx="6">
                  <c:v>3959.669676522205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4-4D0E-82A0-11EEE667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464591"/>
        <c:axId val="2894650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Лист1!$B$6</c15:sqref>
                        </c15:formulaRef>
                      </c:ext>
                    </c:extLst>
                    <c:strCache>
                      <c:ptCount val="1"/>
                      <c:pt idx="0">
                        <c:v>f, кГц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4B4-4D0E-82A0-11EEE6672CC0}"/>
                  </c:ext>
                </c:extLst>
              </c15:ser>
            </c15:filteredLineSeries>
          </c:ext>
        </c:extLst>
      </c:lineChart>
      <c:catAx>
        <c:axId val="28946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465071"/>
        <c:crosses val="autoZero"/>
        <c:auto val="1"/>
        <c:lblAlgn val="ctr"/>
        <c:lblOffset val="100"/>
        <c:noMultiLvlLbl val="0"/>
      </c:catAx>
      <c:valAx>
        <c:axId val="28946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4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значения входного аргумента</a:t>
            </a:r>
            <a:r>
              <a:rPr lang="ru-RU" baseline="0"/>
              <a:t> от частоты</a:t>
            </a:r>
            <a:endParaRPr lang="el-GR"/>
          </a:p>
        </c:rich>
      </c:tx>
      <c:layout>
        <c:manualLayout>
          <c:xMode val="edge"/>
          <c:yMode val="edge"/>
          <c:x val="0.24161809534211753"/>
          <c:y val="3.2407380437186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Лист1!$G$6</c:f>
              <c:strCache>
                <c:ptCount val="1"/>
                <c:pt idx="0">
                  <c:v>ϕ(в радианах, для дальнеших расчетов)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Лист1!$B$7:$B$13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Лист1!$G$15:$G$21</c:f>
              <c:numCache>
                <c:formatCode>0.000</c:formatCode>
                <c:ptCount val="7"/>
                <c:pt idx="0">
                  <c:v>79.971560240179642</c:v>
                </c:pt>
                <c:pt idx="1">
                  <c:v>84.947081370764593</c:v>
                </c:pt>
                <c:pt idx="2">
                  <c:v>86.626530821406533</c:v>
                </c:pt>
                <c:pt idx="3">
                  <c:v>87.468618743581871</c:v>
                </c:pt>
                <c:pt idx="4">
                  <c:v>87.974420630382255</c:v>
                </c:pt>
                <c:pt idx="5">
                  <c:v>88.311802319331122</c:v>
                </c:pt>
                <c:pt idx="6">
                  <c:v>88.55286232311731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F-400A-914D-5C70A0C97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74447"/>
        <c:axId val="402749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Лист1!$B$6</c15:sqref>
                        </c15:formulaRef>
                      </c:ext>
                    </c:extLst>
                    <c:strCache>
                      <c:ptCount val="1"/>
                      <c:pt idx="0">
                        <c:v>f, кГц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AF-400A-914D-5C70A0C97F5E}"/>
                  </c:ext>
                </c:extLst>
              </c15:ser>
            </c15:filteredLineSeries>
          </c:ext>
        </c:extLst>
      </c:lineChart>
      <c:catAx>
        <c:axId val="402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74927"/>
        <c:crosses val="autoZero"/>
        <c:auto val="1"/>
        <c:lblAlgn val="ctr"/>
        <c:lblOffset val="100"/>
        <c:noMultiLvlLbl val="0"/>
      </c:catAx>
      <c:valAx>
        <c:axId val="4027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реактивного входного сопротивления от частоты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Лист1!$E$6</c:f>
              <c:strCache>
                <c:ptCount val="1"/>
                <c:pt idx="0">
                  <c:v>XL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Лист1!$B$7:$B$13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Лист1!$E$7:$E$13</c:f>
              <c:numCache>
                <c:formatCode>0.000</c:formatCode>
                <c:ptCount val="7"/>
                <c:pt idx="0">
                  <c:v>565.48667764616266</c:v>
                </c:pt>
                <c:pt idx="1">
                  <c:v>1130.9733552923253</c:v>
                </c:pt>
                <c:pt idx="2">
                  <c:v>1696.4600329384882</c:v>
                </c:pt>
                <c:pt idx="3">
                  <c:v>2261.9467105846506</c:v>
                </c:pt>
                <c:pt idx="4">
                  <c:v>2827.4333882308138</c:v>
                </c:pt>
                <c:pt idx="5">
                  <c:v>3392.9200658769764</c:v>
                </c:pt>
                <c:pt idx="6">
                  <c:v>3958.4067435231391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3-41F4-8CB4-7E9647CA7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485231"/>
        <c:axId val="2894857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Лист1!$B$6</c15:sqref>
                        </c15:formulaRef>
                      </c:ext>
                    </c:extLst>
                    <c:strCache>
                      <c:ptCount val="1"/>
                      <c:pt idx="0">
                        <c:v>f, кГц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6F3-41F4-8CB4-7E9647CA782B}"/>
                  </c:ext>
                </c:extLst>
              </c15:ser>
            </c15:filteredLineSeries>
          </c:ext>
        </c:extLst>
      </c:lineChart>
      <c:catAx>
        <c:axId val="28948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485711"/>
        <c:crosses val="autoZero"/>
        <c:auto val="1"/>
        <c:lblAlgn val="ctr"/>
        <c:lblOffset val="100"/>
        <c:noMultiLvlLbl val="0"/>
      </c:catAx>
      <c:valAx>
        <c:axId val="28948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48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комплексного входного тока от частоты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Лист1!$H$6</c:f>
              <c:strCache>
                <c:ptCount val="1"/>
                <c:pt idx="0">
                  <c:v>Iвх (Ампер, для расчетов)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Лист1!$B$6:$B$13</c15:sqref>
                  </c15:fullRef>
                </c:ext>
              </c:extLst>
              <c:f>Лист1!$B$7:$B$13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Лист1!$H$7:$H$13</c15:sqref>
                  </c15:fullRef>
                </c:ext>
              </c:extLst>
              <c:f>Лист1!$H$8:$H$13</c:f>
              <c:numCache>
                <c:formatCode>0.0000</c:formatCode>
                <c:ptCount val="6"/>
                <c:pt idx="0">
                  <c:v>7.9268215648950122E-4</c:v>
                </c:pt>
                <c:pt idx="1">
                  <c:v>5.2959718886025765E-4</c:v>
                </c:pt>
                <c:pt idx="2">
                  <c:v>3.9749909173544741E-4</c:v>
                </c:pt>
                <c:pt idx="3">
                  <c:v>3.1811098921547042E-4</c:v>
                </c:pt>
                <c:pt idx="4">
                  <c:v>2.6514310310634401E-4</c:v>
                </c:pt>
                <c:pt idx="5">
                  <c:v>2.27291686813248E-4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3-4391-A588-19003730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78079"/>
        <c:axId val="3702838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Лист1!$B$6</c15:sqref>
                        </c15:formulaRef>
                      </c:ext>
                    </c:extLst>
                    <c:strCache>
                      <c:ptCount val="1"/>
                      <c:pt idx="0">
                        <c:v>f, кГц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Лист1!$B$6:$B$13</c15:sqref>
                        </c15:fullRef>
                        <c15:formulaRef>
                          <c15:sqref>Лист1!$B$7:$B$13</c15:sqref>
                        </c15:formulaRef>
                      </c:ext>
                    </c:extLst>
                    <c:strCach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Лист1!$B$7:$B$13</c15:sqref>
                        </c15:fullRef>
                        <c15:formulaRef>
                          <c15:sqref>Лист1!$B$8:$B$13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</c:v>
                      </c:pt>
                      <c:pt idx="1">
                        <c:v>6</c:v>
                      </c:pt>
                      <c:pt idx="2">
                        <c:v>8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6E3-4391-A588-190037300875}"/>
                  </c:ext>
                </c:extLst>
              </c15:ser>
            </c15:filteredLineSeries>
          </c:ext>
        </c:extLst>
      </c:lineChart>
      <c:catAx>
        <c:axId val="37027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83839"/>
        <c:crosses val="autoZero"/>
        <c:auto val="1"/>
        <c:lblAlgn val="ctr"/>
        <c:lblOffset val="100"/>
        <c:noMultiLvlLbl val="0"/>
      </c:catAx>
      <c:valAx>
        <c:axId val="3702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7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комлексного напряжения на резисторе от частоты</a:t>
            </a:r>
            <a:endParaRPr lang="en-US"/>
          </a:p>
        </c:rich>
      </c:tx>
      <c:layout>
        <c:manualLayout>
          <c:xMode val="edge"/>
          <c:yMode val="edge"/>
          <c:x val="0.19026111637886525"/>
          <c:y val="1.8497107581556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Лист1!$I$6</c:f>
              <c:strCache>
                <c:ptCount val="1"/>
                <c:pt idx="0">
                  <c:v>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Лист1!$B$7:$B$13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Лист1!$I$7:$I$13</c:f>
              <c:numCache>
                <c:formatCode>0.000</c:formatCode>
                <c:ptCount val="7"/>
                <c:pt idx="0">
                  <c:v>0.15672328448901135</c:v>
                </c:pt>
                <c:pt idx="1">
                  <c:v>7.9268215648950119E-2</c:v>
                </c:pt>
                <c:pt idx="2">
                  <c:v>5.2959718886025763E-2</c:v>
                </c:pt>
                <c:pt idx="3">
                  <c:v>3.9749909173544741E-2</c:v>
                </c:pt>
                <c:pt idx="4">
                  <c:v>3.1811098921547043E-2</c:v>
                </c:pt>
                <c:pt idx="5">
                  <c:v>2.6514310310634399E-2</c:v>
                </c:pt>
                <c:pt idx="6">
                  <c:v>2.27291686813248E-2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9-4BFE-BC35-AB8FC764D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44959"/>
        <c:axId val="3702411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Лист1!$B$6</c15:sqref>
                        </c15:formulaRef>
                      </c:ext>
                    </c:extLst>
                    <c:strCache>
                      <c:ptCount val="1"/>
                      <c:pt idx="0">
                        <c:v>f, кГц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CF9-4BFE-BC35-AB8FC764D3CB}"/>
                  </c:ext>
                </c:extLst>
              </c15:ser>
            </c15:filteredLineSeries>
          </c:ext>
        </c:extLst>
      </c:lineChart>
      <c:catAx>
        <c:axId val="3702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41119"/>
        <c:crosses val="autoZero"/>
        <c:auto val="1"/>
        <c:lblAlgn val="ctr"/>
        <c:lblOffset val="100"/>
        <c:noMultiLvlLbl val="0"/>
      </c:catAx>
      <c:valAx>
        <c:axId val="3702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24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комплексного напряжения на катушке</a:t>
            </a:r>
            <a:r>
              <a:rPr lang="ru-RU" baseline="0"/>
              <a:t> от частоты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Лист1!$J$6</c:f>
              <c:strCache>
                <c:ptCount val="1"/>
                <c:pt idx="0">
                  <c:v>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Лист1!$B$7:$B$13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Лист1!$J$7:$J$13</c:f>
              <c:numCache>
                <c:formatCode>0.000</c:formatCode>
                <c:ptCount val="7"/>
                <c:pt idx="0">
                  <c:v>0.88624929455485413</c:v>
                </c:pt>
                <c:pt idx="1">
                  <c:v>0.89650239820528732</c:v>
                </c:pt>
                <c:pt idx="2">
                  <c:v>0.89844046445800341</c:v>
                </c:pt>
                <c:pt idx="3">
                  <c:v>0.89912176301138158</c:v>
                </c:pt>
                <c:pt idx="4">
                  <c:v>0.8994376320709534</c:v>
                </c:pt>
                <c:pt idx="5">
                  <c:v>0.89960935485840265</c:v>
                </c:pt>
                <c:pt idx="6">
                  <c:v>0.89971294582831018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E-44CF-B20E-A2F5E2DFE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443951"/>
        <c:axId val="28942763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Лист1!$B$7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Лист1!$B$8:$B$13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</c:v>
                      </c:pt>
                      <c:pt idx="1">
                        <c:v>6</c:v>
                      </c:pt>
                      <c:pt idx="2">
                        <c:v>8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8AE-44CF-B20E-A2F5E2DFE2D8}"/>
                  </c:ext>
                </c:extLst>
              </c15:ser>
            </c15:filteredLineSeries>
          </c:ext>
        </c:extLst>
      </c:lineChart>
      <c:catAx>
        <c:axId val="28944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427631"/>
        <c:crosses val="autoZero"/>
        <c:auto val="1"/>
        <c:lblAlgn val="ctr"/>
        <c:lblOffset val="100"/>
        <c:noMultiLvlLbl val="0"/>
      </c:catAx>
      <c:valAx>
        <c:axId val="28942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443951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резистивного входного сопротивления от частоты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R1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Лист1!$B$7:$B$13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</c:numCache>
            </c:numRef>
          </c:cat>
          <c:val>
            <c:numRef>
              <c:f>Лист1!$C$16:$C$22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E-4432-8BF8-E6BDB4AC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274287"/>
        <c:axId val="10922704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Лист1!$B$7:$B$13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AE-4432-8BF8-E6BDB4AC4725}"/>
                  </c:ext>
                </c:extLst>
              </c15:ser>
            </c15:filteredLineSeries>
          </c:ext>
        </c:extLst>
      </c:lineChart>
      <c:catAx>
        <c:axId val="10922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270447"/>
        <c:crosses val="autoZero"/>
        <c:auto val="1"/>
        <c:lblAlgn val="ctr"/>
        <c:lblOffset val="100"/>
        <c:noMultiLvlLbl val="0"/>
      </c:catAx>
      <c:valAx>
        <c:axId val="10922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27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2</xdr:row>
      <xdr:rowOff>9525</xdr:rowOff>
    </xdr:from>
    <xdr:to>
      <xdr:col>22</xdr:col>
      <xdr:colOff>600075</xdr:colOff>
      <xdr:row>25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932272-48BB-CEFE-CFC4-1E3B58FFF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361949</xdr:colOff>
      <xdr:row>26</xdr:row>
      <xdr:rowOff>90486</xdr:rowOff>
    </xdr:from>
    <xdr:to>
      <xdr:col>22</xdr:col>
      <xdr:colOff>600074</xdr:colOff>
      <xdr:row>47</xdr:row>
      <xdr:rowOff>38099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075A6C7-03A3-0825-D73E-E37441551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609599</xdr:colOff>
      <xdr:row>2</xdr:row>
      <xdr:rowOff>4762</xdr:rowOff>
    </xdr:from>
    <xdr:to>
      <xdr:col>35</xdr:col>
      <xdr:colOff>9524</xdr:colOff>
      <xdr:row>25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A0DAA6F-B67D-F77B-8631-EA7FBDA7D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25</xdr:row>
      <xdr:rowOff>176212</xdr:rowOff>
    </xdr:from>
    <xdr:to>
      <xdr:col>34</xdr:col>
      <xdr:colOff>571500</xdr:colOff>
      <xdr:row>45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73B5317-E6FD-CFD8-8955-4E6DE0D76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352424</xdr:colOff>
      <xdr:row>48</xdr:row>
      <xdr:rowOff>90486</xdr:rowOff>
    </xdr:from>
    <xdr:to>
      <xdr:col>22</xdr:col>
      <xdr:colOff>581025</xdr:colOff>
      <xdr:row>70</xdr:row>
      <xdr:rowOff>19049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998EECC-9042-41AF-F0A0-B1414177C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9525</xdr:colOff>
      <xdr:row>48</xdr:row>
      <xdr:rowOff>33337</xdr:rowOff>
    </xdr:from>
    <xdr:to>
      <xdr:col>34</xdr:col>
      <xdr:colOff>561975</xdr:colOff>
      <xdr:row>69</xdr:row>
      <xdr:rowOff>142875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795DD43-592C-82F9-A576-56D5F53E9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19049</xdr:colOff>
      <xdr:row>24</xdr:row>
      <xdr:rowOff>185737</xdr:rowOff>
    </xdr:from>
    <xdr:to>
      <xdr:col>9</xdr:col>
      <xdr:colOff>609599</xdr:colOff>
      <xdr:row>43</xdr:row>
      <xdr:rowOff>9525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3D9E71-66C5-5DD0-9716-0C61334BE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CC21-6484-4586-8A3C-C108D7D22B3C}">
  <dimension ref="B2:J22"/>
  <sheetViews>
    <sheetView tabSelected="1" workbookViewId="0">
      <selection activeCell="I21" sqref="I21"/>
    </sheetView>
  </sheetViews>
  <sheetFormatPr defaultRowHeight="15" x14ac:dyDescent="0.25"/>
  <cols>
    <col min="2" max="2" width="10.5703125" customWidth="1"/>
    <col min="3" max="3" width="9" customWidth="1"/>
    <col min="4" max="4" width="9.5703125" bestFit="1" customWidth="1"/>
    <col min="5" max="6" width="9.28515625" bestFit="1" customWidth="1"/>
    <col min="7" max="7" width="38" customWidth="1"/>
    <col min="8" max="8" width="30.140625" customWidth="1"/>
  </cols>
  <sheetData>
    <row r="2" spans="2:10" x14ac:dyDescent="0.25">
      <c r="B2" s="2" t="s">
        <v>0</v>
      </c>
      <c r="C2" s="3">
        <v>100</v>
      </c>
      <c r="D2" s="1" t="s">
        <v>3</v>
      </c>
      <c r="F2" s="2" t="s">
        <v>9</v>
      </c>
      <c r="G2" s="3">
        <v>0.9</v>
      </c>
    </row>
    <row r="3" spans="2:10" x14ac:dyDescent="0.25">
      <c r="B3" s="2" t="s">
        <v>1</v>
      </c>
      <c r="C3" s="3">
        <v>45</v>
      </c>
      <c r="D3" s="1" t="s">
        <v>2</v>
      </c>
    </row>
    <row r="4" spans="2:10" x14ac:dyDescent="0.25">
      <c r="B4" s="2" t="s">
        <v>10</v>
      </c>
      <c r="C4" s="4">
        <f>C2/(2*PI()*(C3/1000))</f>
        <v>353.67765131532298</v>
      </c>
    </row>
    <row r="6" spans="2:10" x14ac:dyDescent="0.25">
      <c r="B6" s="6" t="s">
        <v>4</v>
      </c>
      <c r="C6" s="6" t="s">
        <v>5</v>
      </c>
      <c r="D6" s="5" t="s">
        <v>6</v>
      </c>
      <c r="E6" s="9" t="s">
        <v>7</v>
      </c>
      <c r="F6" s="5" t="s">
        <v>8</v>
      </c>
      <c r="G6" s="5" t="s">
        <v>13</v>
      </c>
      <c r="H6" s="5" t="s">
        <v>15</v>
      </c>
      <c r="I6" s="5" t="s">
        <v>11</v>
      </c>
      <c r="J6" s="5" t="s">
        <v>12</v>
      </c>
    </row>
    <row r="7" spans="2:10" x14ac:dyDescent="0.25">
      <c r="B7" s="7">
        <v>2</v>
      </c>
      <c r="C7" s="8">
        <f>(B7*1000)/$C$4</f>
        <v>5.6548667764616276</v>
      </c>
      <c r="D7" s="8">
        <f>2*PI()*(B7*1000)</f>
        <v>12566.370614359172</v>
      </c>
      <c r="E7" s="8">
        <f>D7*($C$3/1000)</f>
        <v>565.48667764616266</v>
      </c>
      <c r="F7" s="8">
        <f>SQRT($C$2^2 + E7^2)</f>
        <v>574.26055288108989</v>
      </c>
      <c r="G7" s="8">
        <f>ATAN(E7/$C$2)</f>
        <v>1.3957670341481219</v>
      </c>
      <c r="H7" s="10">
        <f>$G$2/F7</f>
        <v>1.5672328448901136E-3</v>
      </c>
      <c r="I7" s="11">
        <f>$C$2*H7</f>
        <v>0.15672328448901135</v>
      </c>
      <c r="J7" s="11">
        <f>E7*H7</f>
        <v>0.88624929455485413</v>
      </c>
    </row>
    <row r="8" spans="2:10" x14ac:dyDescent="0.25">
      <c r="B8" s="7">
        <v>4</v>
      </c>
      <c r="C8" s="8">
        <f t="shared" ref="C8:C13" si="0">(B8*1000)/$C$4</f>
        <v>11.309733552923255</v>
      </c>
      <c r="D8" s="8">
        <f t="shared" ref="D8:D13" si="1">2*PI()*(B8*1000)</f>
        <v>25132.741228718343</v>
      </c>
      <c r="E8" s="8">
        <f t="shared" ref="E8:E13" si="2">D8*($C$3/1000)</f>
        <v>1130.9733552923253</v>
      </c>
      <c r="F8" s="8">
        <f t="shared" ref="F8:F13" si="3">SQRT($C$2^2 + E8^2)</f>
        <v>1135.3857187674946</v>
      </c>
      <c r="G8" s="8">
        <f t="shared" ref="G8:G13" si="4">ATAN(E8/$C$2)</f>
        <v>1.4826062598793801</v>
      </c>
      <c r="H8" s="10">
        <f t="shared" ref="H8:H13" si="5">$G$2/F8</f>
        <v>7.9268215648950122E-4</v>
      </c>
      <c r="I8" s="11">
        <f t="shared" ref="I8:I13" si="6">$C$2*H8</f>
        <v>7.9268215648950119E-2</v>
      </c>
      <c r="J8" s="11">
        <f t="shared" ref="J8:J13" si="7">E8*H8</f>
        <v>0.89650239820528732</v>
      </c>
    </row>
    <row r="9" spans="2:10" x14ac:dyDescent="0.25">
      <c r="B9" s="7">
        <v>6</v>
      </c>
      <c r="C9" s="8">
        <f t="shared" si="0"/>
        <v>16.964600329384883</v>
      </c>
      <c r="D9" s="8">
        <f t="shared" si="1"/>
        <v>37699.111843077517</v>
      </c>
      <c r="E9" s="8">
        <f t="shared" si="2"/>
        <v>1696.4600329384882</v>
      </c>
      <c r="F9" s="8">
        <f t="shared" si="3"/>
        <v>1699.4047909069977</v>
      </c>
      <c r="G9" s="8">
        <f t="shared" si="4"/>
        <v>1.5119181824138919</v>
      </c>
      <c r="H9" s="10">
        <f t="shared" si="5"/>
        <v>5.2959718886025765E-4</v>
      </c>
      <c r="I9" s="11">
        <f t="shared" si="6"/>
        <v>5.2959718886025763E-2</v>
      </c>
      <c r="J9" s="11">
        <f t="shared" si="7"/>
        <v>0.89844046445800341</v>
      </c>
    </row>
    <row r="10" spans="2:10" x14ac:dyDescent="0.25">
      <c r="B10" s="7">
        <v>8</v>
      </c>
      <c r="C10" s="8">
        <f t="shared" si="0"/>
        <v>22.61946710584651</v>
      </c>
      <c r="D10" s="8">
        <f t="shared" si="1"/>
        <v>50265.482457436687</v>
      </c>
      <c r="E10" s="8">
        <f t="shared" si="2"/>
        <v>2261.9467105846506</v>
      </c>
      <c r="F10" s="8">
        <f t="shared" si="3"/>
        <v>2264.1561168622452</v>
      </c>
      <c r="G10" s="8">
        <f t="shared" si="4"/>
        <v>1.5266153892471293</v>
      </c>
      <c r="H10" s="10">
        <f t="shared" si="5"/>
        <v>3.9749909173544741E-4</v>
      </c>
      <c r="I10" s="11">
        <f t="shared" si="6"/>
        <v>3.9749909173544741E-2</v>
      </c>
      <c r="J10" s="11">
        <f t="shared" si="7"/>
        <v>0.89912176301138158</v>
      </c>
    </row>
    <row r="11" spans="2:10" x14ac:dyDescent="0.25">
      <c r="B11" s="7">
        <v>10</v>
      </c>
      <c r="C11" s="8">
        <f t="shared" si="0"/>
        <v>28.274333882308138</v>
      </c>
      <c r="D11" s="8">
        <f t="shared" si="1"/>
        <v>62831.853071795864</v>
      </c>
      <c r="E11" s="8">
        <f t="shared" si="2"/>
        <v>2827.4333882308138</v>
      </c>
      <c r="F11" s="8">
        <f t="shared" si="3"/>
        <v>2829.2012238231446</v>
      </c>
      <c r="G11" s="8">
        <f t="shared" si="4"/>
        <v>1.5354432975345957</v>
      </c>
      <c r="H11" s="10">
        <f t="shared" si="5"/>
        <v>3.1811098921547042E-4</v>
      </c>
      <c r="I11" s="11">
        <f t="shared" si="6"/>
        <v>3.1811098921547043E-2</v>
      </c>
      <c r="J11" s="11">
        <f t="shared" si="7"/>
        <v>0.8994376320709534</v>
      </c>
    </row>
    <row r="12" spans="2:10" x14ac:dyDescent="0.25">
      <c r="B12" s="7">
        <v>12</v>
      </c>
      <c r="C12" s="8">
        <f t="shared" si="0"/>
        <v>33.929200658769766</v>
      </c>
      <c r="D12" s="8">
        <f t="shared" si="1"/>
        <v>75398.223686155034</v>
      </c>
      <c r="E12" s="8">
        <f t="shared" si="2"/>
        <v>3392.9200658769764</v>
      </c>
      <c r="F12" s="8">
        <f t="shared" si="3"/>
        <v>3394.3934028675321</v>
      </c>
      <c r="G12" s="8">
        <f t="shared" si="4"/>
        <v>1.5413317188426927</v>
      </c>
      <c r="H12" s="10">
        <f t="shared" si="5"/>
        <v>2.6514310310634401E-4</v>
      </c>
      <c r="I12" s="11">
        <f t="shared" si="6"/>
        <v>2.6514310310634399E-2</v>
      </c>
      <c r="J12" s="11">
        <f t="shared" si="7"/>
        <v>0.89960935485840265</v>
      </c>
    </row>
    <row r="13" spans="2:10" x14ac:dyDescent="0.25">
      <c r="B13" s="7">
        <v>14</v>
      </c>
      <c r="C13" s="8">
        <f t="shared" si="0"/>
        <v>39.584067435231397</v>
      </c>
      <c r="D13" s="8">
        <f t="shared" si="1"/>
        <v>87964.594300514203</v>
      </c>
      <c r="E13" s="8">
        <f t="shared" si="2"/>
        <v>3958.4067435231391</v>
      </c>
      <c r="F13" s="8">
        <f t="shared" si="3"/>
        <v>3959.669676522205</v>
      </c>
      <c r="G13" s="8">
        <f t="shared" si="4"/>
        <v>1.5455390096036319</v>
      </c>
      <c r="H13" s="10">
        <f t="shared" si="5"/>
        <v>2.27291686813248E-4</v>
      </c>
      <c r="I13" s="11">
        <f t="shared" si="6"/>
        <v>2.27291686813248E-2</v>
      </c>
      <c r="J13" s="11">
        <f t="shared" si="7"/>
        <v>0.89971294582831018</v>
      </c>
    </row>
    <row r="14" spans="2:10" x14ac:dyDescent="0.25">
      <c r="G14" s="5" t="s">
        <v>14</v>
      </c>
      <c r="H14" s="5" t="s">
        <v>16</v>
      </c>
    </row>
    <row r="15" spans="2:10" x14ac:dyDescent="0.25">
      <c r="G15" s="8">
        <f>DEGREES(G7)</f>
        <v>79.971560240179642</v>
      </c>
      <c r="H15" s="8">
        <f t="shared" ref="H15:H21" si="8">H7*1000</f>
        <v>1.5672328448901136</v>
      </c>
    </row>
    <row r="16" spans="2:10" x14ac:dyDescent="0.25">
      <c r="C16">
        <v>100</v>
      </c>
      <c r="G16" s="8">
        <f t="shared" ref="G16:G21" si="9">DEGREES(G8)</f>
        <v>84.947081370764593</v>
      </c>
      <c r="H16" s="8">
        <f t="shared" si="8"/>
        <v>0.79268215648950124</v>
      </c>
    </row>
    <row r="17" spans="3:8" x14ac:dyDescent="0.25">
      <c r="C17">
        <v>100</v>
      </c>
      <c r="G17" s="8">
        <f t="shared" si="9"/>
        <v>86.626530821406533</v>
      </c>
      <c r="H17" s="8">
        <f t="shared" si="8"/>
        <v>0.52959718886025764</v>
      </c>
    </row>
    <row r="18" spans="3:8" x14ac:dyDescent="0.25">
      <c r="C18">
        <v>100</v>
      </c>
      <c r="G18" s="8">
        <f t="shared" si="9"/>
        <v>87.468618743581871</v>
      </c>
      <c r="H18" s="8">
        <f t="shared" si="8"/>
        <v>0.3974990917354474</v>
      </c>
    </row>
    <row r="19" spans="3:8" x14ac:dyDescent="0.25">
      <c r="C19">
        <v>100</v>
      </c>
      <c r="G19" s="8">
        <f t="shared" si="9"/>
        <v>87.974420630382255</v>
      </c>
      <c r="H19" s="8">
        <f t="shared" si="8"/>
        <v>0.31811098921547043</v>
      </c>
    </row>
    <row r="20" spans="3:8" x14ac:dyDescent="0.25">
      <c r="C20">
        <v>100</v>
      </c>
      <c r="G20" s="8">
        <f t="shared" si="9"/>
        <v>88.311802319331122</v>
      </c>
      <c r="H20" s="8">
        <f t="shared" si="8"/>
        <v>0.26514310310634404</v>
      </c>
    </row>
    <row r="21" spans="3:8" x14ac:dyDescent="0.25">
      <c r="C21">
        <v>100</v>
      </c>
      <c r="G21" s="8">
        <f t="shared" si="9"/>
        <v>88.55286232311731</v>
      </c>
      <c r="H21" s="8">
        <f t="shared" si="8"/>
        <v>0.22729168681324799</v>
      </c>
    </row>
    <row r="22" spans="3:8" x14ac:dyDescent="0.25">
      <c r="C2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Черников Юрий</dc:creator>
  <cp:lastModifiedBy>Черников Юрий</cp:lastModifiedBy>
  <dcterms:created xsi:type="dcterms:W3CDTF">2025-11-05T16:00:33Z</dcterms:created>
  <dcterms:modified xsi:type="dcterms:W3CDTF">2025-11-08T16:41:07Z</dcterms:modified>
</cp:coreProperties>
</file>