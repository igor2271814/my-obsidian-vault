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Мои документы\Desktop\Уроки\ДЗ\Электротехника\"/>
    </mc:Choice>
  </mc:AlternateContent>
  <xr:revisionPtr revIDLastSave="0" documentId="13_ncr:1_{8DEDAA8A-EE50-4A66-B235-54C9BADBB741}" xr6:coauthVersionLast="47" xr6:coauthVersionMax="47" xr10:uidLastSave="{00000000-0000-0000-0000-000000000000}"/>
  <bookViews>
    <workbookView xWindow="-120" yWindow="-120" windowWidth="29040" windowHeight="15720" xr2:uid="{39794FB4-90AE-46F3-A83E-A4D6D846E95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C7" i="1"/>
  <c r="C8" i="1" s="1"/>
  <c r="G69" i="1"/>
  <c r="G66" i="1"/>
  <c r="J16" i="1"/>
  <c r="K16" i="1"/>
  <c r="L16" i="1"/>
  <c r="M16" i="1"/>
  <c r="N16" i="1"/>
  <c r="O16" i="1"/>
  <c r="P16" i="1"/>
  <c r="Q16" i="1"/>
  <c r="R16" i="1"/>
  <c r="S16" i="1"/>
  <c r="T16" i="1"/>
  <c r="U16" i="1"/>
  <c r="I16" i="1"/>
  <c r="I8" i="1"/>
  <c r="J8" i="1"/>
  <c r="K8" i="1"/>
  <c r="L8" i="1"/>
  <c r="M8" i="1"/>
  <c r="N8" i="1"/>
  <c r="O8" i="1"/>
  <c r="P8" i="1"/>
  <c r="Q8" i="1"/>
  <c r="R8" i="1"/>
  <c r="S8" i="1"/>
  <c r="T8" i="1"/>
  <c r="U8" i="1"/>
  <c r="J10" i="1"/>
  <c r="K10" i="1"/>
  <c r="L10" i="1"/>
  <c r="M10" i="1"/>
  <c r="N10" i="1"/>
  <c r="O10" i="1"/>
  <c r="P10" i="1"/>
  <c r="Q10" i="1"/>
  <c r="R10" i="1"/>
  <c r="S10" i="1"/>
  <c r="T10" i="1"/>
  <c r="U10" i="1"/>
  <c r="I10" i="1"/>
  <c r="J2" i="1"/>
  <c r="K2" i="1"/>
  <c r="L2" i="1"/>
  <c r="M2" i="1"/>
  <c r="N2" i="1"/>
  <c r="O2" i="1"/>
  <c r="P2" i="1"/>
  <c r="Q2" i="1"/>
  <c r="R2" i="1"/>
  <c r="S2" i="1"/>
  <c r="T2" i="1"/>
  <c r="U2" i="1"/>
  <c r="I2" i="1"/>
  <c r="H9" i="1"/>
  <c r="H15" i="1"/>
  <c r="H14" i="1"/>
  <c r="J15" i="1"/>
  <c r="K15" i="1"/>
  <c r="L15" i="1"/>
  <c r="M15" i="1"/>
  <c r="N15" i="1"/>
  <c r="O15" i="1"/>
  <c r="P15" i="1"/>
  <c r="Q15" i="1"/>
  <c r="R15" i="1"/>
  <c r="S15" i="1"/>
  <c r="T15" i="1"/>
  <c r="U15" i="1"/>
  <c r="I15" i="1"/>
  <c r="U13" i="1"/>
  <c r="T13" i="1"/>
  <c r="S13" i="1"/>
  <c r="R13" i="1"/>
  <c r="Q13" i="1"/>
  <c r="P13" i="1"/>
  <c r="O13" i="1"/>
  <c r="L12" i="1"/>
  <c r="M12" i="1" s="1"/>
  <c r="K12" i="1"/>
  <c r="J12" i="1"/>
  <c r="U11" i="1"/>
  <c r="T11" i="1"/>
  <c r="S11" i="1"/>
  <c r="R11" i="1"/>
  <c r="Q11" i="1"/>
  <c r="P11" i="1"/>
  <c r="O11" i="1"/>
  <c r="N11" i="1"/>
  <c r="N13" i="1" s="1"/>
  <c r="M11" i="1"/>
  <c r="M13" i="1" s="1"/>
  <c r="L11" i="1"/>
  <c r="L13" i="1" s="1"/>
  <c r="K11" i="1"/>
  <c r="K13" i="1" s="1"/>
  <c r="K14" i="1" s="1"/>
  <c r="J11" i="1"/>
  <c r="J13" i="1" s="1"/>
  <c r="J14" i="1" s="1"/>
  <c r="I11" i="1"/>
  <c r="I13" i="1" s="1"/>
  <c r="I14" i="1" s="1"/>
  <c r="J7" i="1"/>
  <c r="K7" i="1"/>
  <c r="L7" i="1"/>
  <c r="M7" i="1"/>
  <c r="N7" i="1"/>
  <c r="O7" i="1"/>
  <c r="P7" i="1"/>
  <c r="Q7" i="1"/>
  <c r="R7" i="1"/>
  <c r="S7" i="1"/>
  <c r="T7" i="1"/>
  <c r="U7" i="1"/>
  <c r="I7" i="1"/>
  <c r="J6" i="1"/>
  <c r="K6" i="1"/>
  <c r="L6" i="1"/>
  <c r="M6" i="1"/>
  <c r="N6" i="1"/>
  <c r="O6" i="1"/>
  <c r="P6" i="1"/>
  <c r="Q6" i="1"/>
  <c r="R6" i="1"/>
  <c r="S6" i="1"/>
  <c r="T6" i="1"/>
  <c r="U6" i="1"/>
  <c r="I6" i="1"/>
  <c r="J5" i="1"/>
  <c r="K5" i="1"/>
  <c r="L5" i="1"/>
  <c r="M5" i="1"/>
  <c r="N5" i="1"/>
  <c r="O5" i="1"/>
  <c r="P5" i="1"/>
  <c r="Q5" i="1"/>
  <c r="R5" i="1"/>
  <c r="S5" i="1"/>
  <c r="T5" i="1"/>
  <c r="U5" i="1"/>
  <c r="J3" i="1"/>
  <c r="K3" i="1"/>
  <c r="L3" i="1"/>
  <c r="M3" i="1"/>
  <c r="N3" i="1"/>
  <c r="O3" i="1"/>
  <c r="P3" i="1"/>
  <c r="Q3" i="1"/>
  <c r="R3" i="1"/>
  <c r="S3" i="1"/>
  <c r="T3" i="1"/>
  <c r="U3" i="1"/>
  <c r="R4" i="1"/>
  <c r="S4" i="1"/>
  <c r="T4" i="1"/>
  <c r="U4" i="1"/>
  <c r="N4" i="1"/>
  <c r="O4" i="1" s="1"/>
  <c r="P4" i="1" s="1"/>
  <c r="Q4" i="1" s="1"/>
  <c r="K4" i="1"/>
  <c r="L4" i="1" s="1"/>
  <c r="M4" i="1" s="1"/>
  <c r="J4" i="1"/>
  <c r="I3" i="1"/>
  <c r="I5" i="1" s="1"/>
  <c r="E5" i="1"/>
  <c r="E3" i="1"/>
  <c r="D11" i="1"/>
  <c r="C11" i="1"/>
  <c r="D9" i="1"/>
  <c r="D10" i="1" s="1"/>
  <c r="C9" i="1"/>
  <c r="D8" i="1"/>
  <c r="D6" i="1"/>
  <c r="C6" i="1"/>
  <c r="D5" i="1"/>
  <c r="D3" i="1"/>
  <c r="C3" i="1"/>
  <c r="C5" i="1"/>
  <c r="C10" i="1" l="1"/>
  <c r="N12" i="1"/>
  <c r="M14" i="1"/>
  <c r="L14" i="1"/>
  <c r="O12" i="1" l="1"/>
  <c r="N14" i="1"/>
  <c r="P12" i="1" l="1"/>
  <c r="O14" i="1"/>
  <c r="Q12" i="1" l="1"/>
  <c r="P14" i="1"/>
  <c r="Q14" i="1" l="1"/>
  <c r="R12" i="1"/>
  <c r="R14" i="1" l="1"/>
  <c r="S12" i="1"/>
  <c r="T12" i="1" l="1"/>
  <c r="S14" i="1"/>
  <c r="U12" i="1" l="1"/>
  <c r="U14" i="1" s="1"/>
  <c r="T14" i="1"/>
</calcChain>
</file>

<file path=xl/sharedStrings.xml><?xml version="1.0" encoding="utf-8"?>
<sst xmlns="http://schemas.openxmlformats.org/spreadsheetml/2006/main" count="30" uniqueCount="22">
  <si>
    <t>f0 =</t>
  </si>
  <si>
    <t>С =</t>
  </si>
  <si>
    <t xml:space="preserve"> </t>
  </si>
  <si>
    <t>L =</t>
  </si>
  <si>
    <t/>
  </si>
  <si>
    <t>R1</t>
  </si>
  <si>
    <t>R2</t>
  </si>
  <si>
    <t>I0 =</t>
  </si>
  <si>
    <t>П =</t>
  </si>
  <si>
    <t>f2 =</t>
  </si>
  <si>
    <t>f1 =</t>
  </si>
  <si>
    <t>Q =</t>
  </si>
  <si>
    <t>ρ =</t>
  </si>
  <si>
    <t>|Zвх(f)|</t>
  </si>
  <si>
    <t>Im[Zвх(f)]</t>
  </si>
  <si>
    <t>Re[Zвх(f)]</t>
  </si>
  <si>
    <r>
      <rPr>
        <sz val="11"/>
        <color theme="1"/>
        <rFont val="Arial Narrow"/>
        <family val="2"/>
        <charset val="204"/>
      </rPr>
      <t>φ</t>
    </r>
    <r>
      <rPr>
        <sz val="11"/>
        <color theme="1"/>
        <rFont val="Calibri"/>
        <family val="2"/>
        <charset val="204"/>
      </rPr>
      <t>z(f)</t>
    </r>
  </si>
  <si>
    <t>|I(f)|</t>
  </si>
  <si>
    <t>f0</t>
  </si>
  <si>
    <t>G</t>
  </si>
  <si>
    <t>C1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</si>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</sst>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00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right" vertical="center"/>
    </xf>
    <xf numFmtId="0" fontId="0" fillId="0" borderId="0" xfId="0" quotePrefix="1"/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Зависимость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|Z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вх(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f)|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Im[Z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вх(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f)]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и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Re[Z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вх(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f)]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от частоты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∈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[2, 8] 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кГц, и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R=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160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Ом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Лист1!$H$1</c:f>
              <c:strCache>
                <c:ptCount val="1"/>
                <c:pt idx="0">
                  <c:v>Re[Zвх(f)]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Лист1!$I$4:$U$4</c:f>
              <c:numCache>
                <c:formatCode>General</c:formatCode>
                <c:ptCount val="13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  <c:pt idx="3">
                  <c:v>3500</c:v>
                </c:pt>
                <c:pt idx="4">
                  <c:v>4000</c:v>
                </c:pt>
                <c:pt idx="5">
                  <c:v>4500</c:v>
                </c:pt>
                <c:pt idx="6">
                  <c:v>5000</c:v>
                </c:pt>
                <c:pt idx="7">
                  <c:v>5500</c:v>
                </c:pt>
                <c:pt idx="8">
                  <c:v>6000</c:v>
                </c:pt>
                <c:pt idx="9">
                  <c:v>6500</c:v>
                </c:pt>
                <c:pt idx="10">
                  <c:v>7000</c:v>
                </c:pt>
                <c:pt idx="11">
                  <c:v>7500</c:v>
                </c:pt>
                <c:pt idx="12">
                  <c:v>8000</c:v>
                </c:pt>
              </c:numCache>
            </c:numRef>
          </c:cat>
          <c:val>
            <c:numRef>
              <c:f>Лист1!$J$1:$U$1</c:f>
              <c:numCache>
                <c:formatCode>General</c:formatCode>
                <c:ptCount val="12"/>
                <c:pt idx="0">
                  <c:v>160</c:v>
                </c:pt>
                <c:pt idx="1">
                  <c:v>160</c:v>
                </c:pt>
                <c:pt idx="2">
                  <c:v>160</c:v>
                </c:pt>
                <c:pt idx="3">
                  <c:v>160</c:v>
                </c:pt>
                <c:pt idx="4">
                  <c:v>160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160</c:v>
                </c:pt>
                <c:pt idx="9">
                  <c:v>160</c:v>
                </c:pt>
                <c:pt idx="10">
                  <c:v>160</c:v>
                </c:pt>
                <c:pt idx="1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7F-43E8-BAEC-A3114043E0E8}"/>
            </c:ext>
          </c:extLst>
        </c:ser>
        <c:ser>
          <c:idx val="1"/>
          <c:order val="1"/>
          <c:tx>
            <c:strRef>
              <c:f>Лист1!$H$6</c:f>
              <c:strCache>
                <c:ptCount val="1"/>
                <c:pt idx="0">
                  <c:v>Im[Zвх(f)]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Лист1!$I$4:$U$4</c:f>
              <c:numCache>
                <c:formatCode>General</c:formatCode>
                <c:ptCount val="13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  <c:pt idx="3">
                  <c:v>3500</c:v>
                </c:pt>
                <c:pt idx="4">
                  <c:v>4000</c:v>
                </c:pt>
                <c:pt idx="5">
                  <c:v>4500</c:v>
                </c:pt>
                <c:pt idx="6">
                  <c:v>5000</c:v>
                </c:pt>
                <c:pt idx="7">
                  <c:v>5500</c:v>
                </c:pt>
                <c:pt idx="8">
                  <c:v>6000</c:v>
                </c:pt>
                <c:pt idx="9">
                  <c:v>6500</c:v>
                </c:pt>
                <c:pt idx="10">
                  <c:v>7000</c:v>
                </c:pt>
                <c:pt idx="11">
                  <c:v>7500</c:v>
                </c:pt>
                <c:pt idx="12">
                  <c:v>8000</c:v>
                </c:pt>
              </c:numCache>
            </c:numRef>
          </c:cat>
          <c:val>
            <c:numRef>
              <c:f>Лист1!$J$6:$U$6</c:f>
              <c:numCache>
                <c:formatCode>0.0000</c:formatCode>
                <c:ptCount val="12"/>
                <c:pt idx="0">
                  <c:v>1726.9416568131001</c:v>
                </c:pt>
                <c:pt idx="1">
                  <c:v>2072.3299881757198</c:v>
                </c:pt>
                <c:pt idx="2">
                  <c:v>2417.71831953834</c:v>
                </c:pt>
                <c:pt idx="3">
                  <c:v>2763.1066509009597</c:v>
                </c:pt>
                <c:pt idx="4">
                  <c:v>3108.4949822635799</c:v>
                </c:pt>
                <c:pt idx="5">
                  <c:v>3453.8833136262001</c:v>
                </c:pt>
                <c:pt idx="6">
                  <c:v>3799.2716449888194</c:v>
                </c:pt>
                <c:pt idx="7">
                  <c:v>4144.6599763514396</c:v>
                </c:pt>
                <c:pt idx="8">
                  <c:v>4490.0483077140598</c:v>
                </c:pt>
                <c:pt idx="9">
                  <c:v>4835.43663907668</c:v>
                </c:pt>
                <c:pt idx="10">
                  <c:v>5180.8249704393002</c:v>
                </c:pt>
                <c:pt idx="11">
                  <c:v>5526.2133018019194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7F-43E8-BAEC-A3114043E0E8}"/>
            </c:ext>
          </c:extLst>
        </c:ser>
        <c:ser>
          <c:idx val="2"/>
          <c:order val="2"/>
          <c:tx>
            <c:strRef>
              <c:f>Лист1!$H$7</c:f>
              <c:strCache>
                <c:ptCount val="1"/>
                <c:pt idx="0">
                  <c:v>|Zвх(f)|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Лист1!$I$4:$U$4</c:f>
              <c:numCache>
                <c:formatCode>General</c:formatCode>
                <c:ptCount val="13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  <c:pt idx="3">
                  <c:v>3500</c:v>
                </c:pt>
                <c:pt idx="4">
                  <c:v>4000</c:v>
                </c:pt>
                <c:pt idx="5">
                  <c:v>4500</c:v>
                </c:pt>
                <c:pt idx="6">
                  <c:v>5000</c:v>
                </c:pt>
                <c:pt idx="7">
                  <c:v>5500</c:v>
                </c:pt>
                <c:pt idx="8">
                  <c:v>6000</c:v>
                </c:pt>
                <c:pt idx="9">
                  <c:v>6500</c:v>
                </c:pt>
                <c:pt idx="10">
                  <c:v>7000</c:v>
                </c:pt>
                <c:pt idx="11">
                  <c:v>7500</c:v>
                </c:pt>
                <c:pt idx="12">
                  <c:v>8000</c:v>
                </c:pt>
              </c:numCache>
            </c:numRef>
          </c:cat>
          <c:val>
            <c:numRef>
              <c:f>Лист1!$J$7:$U$7</c:f>
              <c:numCache>
                <c:formatCode>0.0000</c:formatCode>
                <c:ptCount val="12"/>
                <c:pt idx="0">
                  <c:v>1734.3377658450429</c:v>
                </c:pt>
                <c:pt idx="1">
                  <c:v>2078.4974332176548</c:v>
                </c:pt>
                <c:pt idx="2">
                  <c:v>2423.0067834472306</c:v>
                </c:pt>
                <c:pt idx="3">
                  <c:v>2767.7352409963491</c:v>
                </c:pt>
                <c:pt idx="4">
                  <c:v>3112.6100068524252</c:v>
                </c:pt>
                <c:pt idx="5">
                  <c:v>3457.5873010157675</c:v>
                </c:pt>
                <c:pt idx="6">
                  <c:v>3802.6392193338629</c:v>
                </c:pt>
                <c:pt idx="7">
                  <c:v>4147.7471378532127</c:v>
                </c:pt>
                <c:pt idx="8">
                  <c:v>4492.8981521514479</c:v>
                </c:pt>
                <c:pt idx="9">
                  <c:v>4838.083038820766</c:v>
                </c:pt>
                <c:pt idx="10">
                  <c:v>5183.295030608173</c:v>
                </c:pt>
                <c:pt idx="11">
                  <c:v>5528.5290500288111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7F-43E8-BAEC-A3114043E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3916944"/>
        <c:axId val="2093912144"/>
      </c:lineChart>
      <c:catAx>
        <c:axId val="209391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3912144"/>
        <c:crosses val="autoZero"/>
        <c:auto val="1"/>
        <c:lblAlgn val="ctr"/>
        <c:lblOffset val="100"/>
        <c:noMultiLvlLbl val="0"/>
      </c:catAx>
      <c:valAx>
        <c:axId val="209391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391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</a:t>
            </a:r>
            <a:r>
              <a:rPr lang="en-US"/>
              <a:t>|Z</a:t>
            </a:r>
            <a:r>
              <a:rPr lang="ru-RU"/>
              <a:t>вх(</a:t>
            </a:r>
            <a:r>
              <a:rPr lang="en-US"/>
              <a:t>f)|</a:t>
            </a:r>
            <a:r>
              <a:rPr lang="ru-RU"/>
              <a:t>, </a:t>
            </a:r>
            <a:r>
              <a:rPr lang="en-US"/>
              <a:t>Im[Z</a:t>
            </a:r>
            <a:r>
              <a:rPr lang="ru-RU"/>
              <a:t>вх(</a:t>
            </a:r>
            <a:r>
              <a:rPr lang="en-US"/>
              <a:t>f)]</a:t>
            </a:r>
            <a:r>
              <a:rPr lang="ru-RU"/>
              <a:t> и </a:t>
            </a:r>
            <a:r>
              <a:rPr lang="en-US"/>
              <a:t>Re[Z</a:t>
            </a:r>
            <a:r>
              <a:rPr lang="ru-RU"/>
              <a:t>вх(</a:t>
            </a:r>
            <a:r>
              <a:rPr lang="en-US"/>
              <a:t>f)]</a:t>
            </a:r>
            <a:r>
              <a:rPr lang="ru-RU"/>
              <a:t> от частоты </a:t>
            </a:r>
            <a:r>
              <a:rPr lang="en-US"/>
              <a:t>f</a:t>
            </a:r>
            <a:r>
              <a:rPr lang="ru-RU" sz="1400" b="0" i="0" u="none" strike="noStrike" baseline="0">
                <a:effectLst/>
              </a:rPr>
              <a:t>∈</a:t>
            </a:r>
            <a:r>
              <a:rPr lang="en-US" sz="1400" b="0" i="0" u="none" strike="noStrike" baseline="0">
                <a:effectLst/>
              </a:rPr>
              <a:t>[2, 8] </a:t>
            </a:r>
            <a:r>
              <a:rPr lang="ru-RU" sz="1400" b="0" i="0" u="none" strike="noStrike" baseline="0">
                <a:effectLst/>
              </a:rPr>
              <a:t>кГц, и </a:t>
            </a:r>
            <a:r>
              <a:rPr lang="en-US" sz="1400" b="0" i="0" u="none" strike="noStrike" baseline="0">
                <a:effectLst/>
              </a:rPr>
              <a:t>R=</a:t>
            </a:r>
            <a:r>
              <a:rPr lang="ru-RU" sz="1400" b="0" i="0" u="none" strike="noStrike" baseline="0">
                <a:effectLst/>
              </a:rPr>
              <a:t>640</a:t>
            </a:r>
            <a:r>
              <a:rPr lang="en-US" sz="1400" b="0" i="0" u="none" strike="noStrike" baseline="0">
                <a:effectLst/>
              </a:rPr>
              <a:t> </a:t>
            </a:r>
            <a:r>
              <a:rPr lang="ru-RU" sz="1400" b="0" i="0" u="none" strike="noStrike" baseline="0">
                <a:effectLst/>
              </a:rPr>
              <a:t>Ом</a:t>
            </a:r>
            <a:r>
              <a:rPr lang="ru-RU"/>
              <a:t>  </a:t>
            </a:r>
          </a:p>
        </c:rich>
      </c:tx>
      <c:layout>
        <c:manualLayout>
          <c:xMode val="edge"/>
          <c:yMode val="edge"/>
          <c:x val="0.11707332516114308"/>
          <c:y val="2.1188041364586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Лист1!$H$9</c:f>
              <c:strCache>
                <c:ptCount val="1"/>
                <c:pt idx="0">
                  <c:v>Re[Zвх(f)]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Лист1!$I$12:$U$12</c:f>
              <c:numCache>
                <c:formatCode>General</c:formatCode>
                <c:ptCount val="13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  <c:pt idx="3">
                  <c:v>3500</c:v>
                </c:pt>
                <c:pt idx="4">
                  <c:v>4000</c:v>
                </c:pt>
                <c:pt idx="5">
                  <c:v>4500</c:v>
                </c:pt>
                <c:pt idx="6">
                  <c:v>5000</c:v>
                </c:pt>
                <c:pt idx="7">
                  <c:v>5500</c:v>
                </c:pt>
                <c:pt idx="8">
                  <c:v>6000</c:v>
                </c:pt>
                <c:pt idx="9">
                  <c:v>6500</c:v>
                </c:pt>
                <c:pt idx="10">
                  <c:v>7000</c:v>
                </c:pt>
                <c:pt idx="11">
                  <c:v>7500</c:v>
                </c:pt>
                <c:pt idx="12">
                  <c:v>8000</c:v>
                </c:pt>
              </c:numCache>
            </c:numRef>
          </c:cat>
          <c:val>
            <c:numRef>
              <c:f>Лист1!$I$9:$U$9</c:f>
              <c:numCache>
                <c:formatCode>General</c:formatCode>
                <c:ptCount val="13"/>
                <c:pt idx="0">
                  <c:v>640</c:v>
                </c:pt>
                <c:pt idx="1">
                  <c:v>640</c:v>
                </c:pt>
                <c:pt idx="2">
                  <c:v>640</c:v>
                </c:pt>
                <c:pt idx="3">
                  <c:v>640</c:v>
                </c:pt>
                <c:pt idx="4">
                  <c:v>640</c:v>
                </c:pt>
                <c:pt idx="5">
                  <c:v>640</c:v>
                </c:pt>
                <c:pt idx="6">
                  <c:v>640</c:v>
                </c:pt>
                <c:pt idx="7">
                  <c:v>640</c:v>
                </c:pt>
                <c:pt idx="8">
                  <c:v>640</c:v>
                </c:pt>
                <c:pt idx="9">
                  <c:v>640</c:v>
                </c:pt>
                <c:pt idx="10">
                  <c:v>640</c:v>
                </c:pt>
                <c:pt idx="11">
                  <c:v>640</c:v>
                </c:pt>
                <c:pt idx="12">
                  <c:v>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46-4467-B9E8-AB47F2289F69}"/>
            </c:ext>
          </c:extLst>
        </c:ser>
        <c:ser>
          <c:idx val="1"/>
          <c:order val="1"/>
          <c:tx>
            <c:strRef>
              <c:f>Лист1!$H$14</c:f>
              <c:strCache>
                <c:ptCount val="1"/>
                <c:pt idx="0">
                  <c:v>Im[Zвх(f)]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Лист1!$I$12:$U$12</c:f>
              <c:numCache>
                <c:formatCode>General</c:formatCode>
                <c:ptCount val="13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  <c:pt idx="3">
                  <c:v>3500</c:v>
                </c:pt>
                <c:pt idx="4">
                  <c:v>4000</c:v>
                </c:pt>
                <c:pt idx="5">
                  <c:v>4500</c:v>
                </c:pt>
                <c:pt idx="6">
                  <c:v>5000</c:v>
                </c:pt>
                <c:pt idx="7">
                  <c:v>5500</c:v>
                </c:pt>
                <c:pt idx="8">
                  <c:v>6000</c:v>
                </c:pt>
                <c:pt idx="9">
                  <c:v>6500</c:v>
                </c:pt>
                <c:pt idx="10">
                  <c:v>7000</c:v>
                </c:pt>
                <c:pt idx="11">
                  <c:v>7500</c:v>
                </c:pt>
                <c:pt idx="12">
                  <c:v>8000</c:v>
                </c:pt>
              </c:numCache>
            </c:numRef>
          </c:cat>
          <c:val>
            <c:numRef>
              <c:f>Лист1!$I$14:$U$14</c:f>
              <c:numCache>
                <c:formatCode>0.0000</c:formatCode>
                <c:ptCount val="13"/>
                <c:pt idx="0">
                  <c:v>1381.5533254504799</c:v>
                </c:pt>
                <c:pt idx="1">
                  <c:v>1726.9416568131001</c:v>
                </c:pt>
                <c:pt idx="2">
                  <c:v>2072.3299881757198</c:v>
                </c:pt>
                <c:pt idx="3">
                  <c:v>2417.71831953834</c:v>
                </c:pt>
                <c:pt idx="4">
                  <c:v>2763.1066509009597</c:v>
                </c:pt>
                <c:pt idx="5">
                  <c:v>3108.4949822635799</c:v>
                </c:pt>
                <c:pt idx="6">
                  <c:v>3453.8833136262001</c:v>
                </c:pt>
                <c:pt idx="7">
                  <c:v>3799.2716449888194</c:v>
                </c:pt>
                <c:pt idx="8">
                  <c:v>4144.6599763514396</c:v>
                </c:pt>
                <c:pt idx="9">
                  <c:v>4490.0483077140598</c:v>
                </c:pt>
                <c:pt idx="10">
                  <c:v>4835.43663907668</c:v>
                </c:pt>
                <c:pt idx="11">
                  <c:v>5180.8249704393002</c:v>
                </c:pt>
                <c:pt idx="12">
                  <c:v>5526.2133018019194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46-4467-B9E8-AB47F2289F69}"/>
            </c:ext>
          </c:extLst>
        </c:ser>
        <c:ser>
          <c:idx val="2"/>
          <c:order val="2"/>
          <c:tx>
            <c:strRef>
              <c:f>Лист1!$H$15</c:f>
              <c:strCache>
                <c:ptCount val="1"/>
                <c:pt idx="0">
                  <c:v>|Zвх(f)|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Лист1!$I$12:$U$12</c:f>
              <c:numCache>
                <c:formatCode>General</c:formatCode>
                <c:ptCount val="13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  <c:pt idx="3">
                  <c:v>3500</c:v>
                </c:pt>
                <c:pt idx="4">
                  <c:v>4000</c:v>
                </c:pt>
                <c:pt idx="5">
                  <c:v>4500</c:v>
                </c:pt>
                <c:pt idx="6">
                  <c:v>5000</c:v>
                </c:pt>
                <c:pt idx="7">
                  <c:v>5500</c:v>
                </c:pt>
                <c:pt idx="8">
                  <c:v>6000</c:v>
                </c:pt>
                <c:pt idx="9">
                  <c:v>6500</c:v>
                </c:pt>
                <c:pt idx="10">
                  <c:v>7000</c:v>
                </c:pt>
                <c:pt idx="11">
                  <c:v>7500</c:v>
                </c:pt>
                <c:pt idx="12">
                  <c:v>8000</c:v>
                </c:pt>
              </c:numCache>
            </c:numRef>
          </c:cat>
          <c:val>
            <c:numRef>
              <c:f>Лист1!$I$15:$U$15</c:f>
              <c:numCache>
                <c:formatCode>0.0000</c:formatCode>
                <c:ptCount val="13"/>
                <c:pt idx="0">
                  <c:v>1522.5930484089567</c:v>
                </c:pt>
                <c:pt idx="1">
                  <c:v>1841.7186229270678</c:v>
                </c:pt>
                <c:pt idx="2">
                  <c:v>2168.9056180231491</c:v>
                </c:pt>
                <c:pt idx="3">
                  <c:v>2500.9921776429637</c:v>
                </c:pt>
                <c:pt idx="4">
                  <c:v>2836.2578099060597</c:v>
                </c:pt>
                <c:pt idx="5">
                  <c:v>3173.6951735725747</c:v>
                </c:pt>
                <c:pt idx="6">
                  <c:v>3512.6784572666911</c:v>
                </c:pt>
                <c:pt idx="7">
                  <c:v>3852.799635643677</c:v>
                </c:pt>
                <c:pt idx="8">
                  <c:v>4193.7818636130223</c:v>
                </c:pt>
                <c:pt idx="9">
                  <c:v>4535.4309393491922</c:v>
                </c:pt>
                <c:pt idx="10">
                  <c:v>4877.6067379940723</c:v>
                </c:pt>
                <c:pt idx="11">
                  <c:v>5220.2056831438522</c:v>
                </c:pt>
                <c:pt idx="12">
                  <c:v>5563.149598654747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C46-4467-B9E8-AB47F2289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3958224"/>
        <c:axId val="2093955344"/>
      </c:lineChart>
      <c:catAx>
        <c:axId val="209395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3955344"/>
        <c:crosses val="autoZero"/>
        <c:auto val="1"/>
        <c:lblAlgn val="ctr"/>
        <c:lblOffset val="100"/>
        <c:noMultiLvlLbl val="0"/>
      </c:catAx>
      <c:valAx>
        <c:axId val="209395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395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фазы входного сопротивления от частоты при разных сопротивлениях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φz(f), R = 160 Ом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Лист1!$I$12:$U$12</c:f>
              <c:numCache>
                <c:formatCode>General</c:formatCode>
                <c:ptCount val="13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  <c:pt idx="3">
                  <c:v>3500</c:v>
                </c:pt>
                <c:pt idx="4">
                  <c:v>4000</c:v>
                </c:pt>
                <c:pt idx="5">
                  <c:v>4500</c:v>
                </c:pt>
                <c:pt idx="6">
                  <c:v>5000</c:v>
                </c:pt>
                <c:pt idx="7">
                  <c:v>5500</c:v>
                </c:pt>
                <c:pt idx="8">
                  <c:v>6000</c:v>
                </c:pt>
                <c:pt idx="9">
                  <c:v>6500</c:v>
                </c:pt>
                <c:pt idx="10">
                  <c:v>7000</c:v>
                </c:pt>
                <c:pt idx="11">
                  <c:v>7500</c:v>
                </c:pt>
                <c:pt idx="12">
                  <c:v>8000</c:v>
                </c:pt>
              </c:numCache>
            </c:numRef>
          </c:cat>
          <c:val>
            <c:numRef>
              <c:f>Лист1!$I$2:$U$2</c:f>
              <c:numCache>
                <c:formatCode>General</c:formatCode>
                <c:ptCount val="13"/>
                <c:pt idx="0">
                  <c:v>83.393909486876609</c:v>
                </c:pt>
                <c:pt idx="1">
                  <c:v>84.706695218270639</c:v>
                </c:pt>
                <c:pt idx="2">
                  <c:v>85.58507860830872</c:v>
                </c:pt>
                <c:pt idx="3">
                  <c:v>86.213795124696418</c:v>
                </c:pt>
                <c:pt idx="4">
                  <c:v>86.685940802052727</c:v>
                </c:pt>
                <c:pt idx="5">
                  <c:v>87.053480286557729</c:v>
                </c:pt>
                <c:pt idx="6">
                  <c:v>87.347688180375116</c:v>
                </c:pt>
                <c:pt idx="7">
                  <c:v>87.588508582618871</c:v>
                </c:pt>
                <c:pt idx="8">
                  <c:v>87.789257757761177</c:v>
                </c:pt>
                <c:pt idx="9">
                  <c:v>87.95916506875318</c:v>
                </c:pt>
                <c:pt idx="10">
                  <c:v>88.104828606042844</c:v>
                </c:pt>
                <c:pt idx="11">
                  <c:v>88.231090232742218</c:v>
                </c:pt>
                <c:pt idx="12">
                  <c:v>88.341583297584407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89-4D31-81FE-028A25FE38BF}"/>
            </c:ext>
          </c:extLst>
        </c:ser>
        <c:ser>
          <c:idx val="2"/>
          <c:order val="2"/>
          <c:tx>
            <c:v>φz(f), R = 640 Ом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Лист1!$I$12:$U$12</c:f>
              <c:numCache>
                <c:formatCode>General</c:formatCode>
                <c:ptCount val="13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  <c:pt idx="3">
                  <c:v>3500</c:v>
                </c:pt>
                <c:pt idx="4">
                  <c:v>4000</c:v>
                </c:pt>
                <c:pt idx="5">
                  <c:v>4500</c:v>
                </c:pt>
                <c:pt idx="6">
                  <c:v>5000</c:v>
                </c:pt>
                <c:pt idx="7">
                  <c:v>5500</c:v>
                </c:pt>
                <c:pt idx="8">
                  <c:v>6000</c:v>
                </c:pt>
                <c:pt idx="9">
                  <c:v>6500</c:v>
                </c:pt>
                <c:pt idx="10">
                  <c:v>7000</c:v>
                </c:pt>
                <c:pt idx="11">
                  <c:v>7500</c:v>
                </c:pt>
                <c:pt idx="12">
                  <c:v>8000</c:v>
                </c:pt>
              </c:numCache>
            </c:numRef>
          </c:cat>
          <c:val>
            <c:numRef>
              <c:f>Лист1!$I$10:$U$10</c:f>
              <c:numCache>
                <c:formatCode>General</c:formatCode>
                <c:ptCount val="13"/>
                <c:pt idx="0">
                  <c:v>65.144225464016344</c:v>
                </c:pt>
                <c:pt idx="1">
                  <c:v>69.665427842790066</c:v>
                </c:pt>
                <c:pt idx="2">
                  <c:v>72.837683935336088</c:v>
                </c:pt>
                <c:pt idx="3">
                  <c:v>75.173171467672134</c:v>
                </c:pt>
                <c:pt idx="4">
                  <c:v>76.958929220569644</c:v>
                </c:pt>
                <c:pt idx="5">
                  <c:v>78.366087697697708</c:v>
                </c:pt>
                <c:pt idx="6">
                  <c:v>79.502236253722216</c:v>
                </c:pt>
                <c:pt idx="7">
                  <c:v>80.43810459883619</c:v>
                </c:pt>
                <c:pt idx="8">
                  <c:v>81.221970105633815</c:v>
                </c:pt>
                <c:pt idx="9">
                  <c:v>81.887849611353715</c:v>
                </c:pt>
                <c:pt idx="10">
                  <c:v>82.46037157816491</c:v>
                </c:pt>
                <c:pt idx="11">
                  <c:v>82.957789382337651</c:v>
                </c:pt>
                <c:pt idx="12">
                  <c:v>83.393909486876609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89-4D31-81FE-028A25FE3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051200"/>
        <c:axId val="109305360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Лист1!$H$4</c15:sqref>
                        </c15:formulaRef>
                      </c:ext>
                    </c:extLst>
                    <c:strCache>
                      <c:ptCount val="1"/>
                      <c:pt idx="0">
                        <c:v>f0 =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Лист1!$I$12:$U$12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2000</c:v>
                      </c:pt>
                      <c:pt idx="1">
                        <c:v>2500</c:v>
                      </c:pt>
                      <c:pt idx="2">
                        <c:v>3000</c:v>
                      </c:pt>
                      <c:pt idx="3">
                        <c:v>3500</c:v>
                      </c:pt>
                      <c:pt idx="4">
                        <c:v>4000</c:v>
                      </c:pt>
                      <c:pt idx="5">
                        <c:v>4500</c:v>
                      </c:pt>
                      <c:pt idx="6">
                        <c:v>5000</c:v>
                      </c:pt>
                      <c:pt idx="7">
                        <c:v>5500</c:v>
                      </c:pt>
                      <c:pt idx="8">
                        <c:v>6000</c:v>
                      </c:pt>
                      <c:pt idx="9">
                        <c:v>6500</c:v>
                      </c:pt>
                      <c:pt idx="10">
                        <c:v>7000</c:v>
                      </c:pt>
                      <c:pt idx="11">
                        <c:v>7500</c:v>
                      </c:pt>
                      <c:pt idx="12">
                        <c:v>8000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Лист1!$I$4:$U$4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2000</c:v>
                      </c:pt>
                      <c:pt idx="1">
                        <c:v>2500</c:v>
                      </c:pt>
                      <c:pt idx="2">
                        <c:v>3000</c:v>
                      </c:pt>
                      <c:pt idx="3">
                        <c:v>3500</c:v>
                      </c:pt>
                      <c:pt idx="4">
                        <c:v>4000</c:v>
                      </c:pt>
                      <c:pt idx="5">
                        <c:v>4500</c:v>
                      </c:pt>
                      <c:pt idx="6">
                        <c:v>5000</c:v>
                      </c:pt>
                      <c:pt idx="7">
                        <c:v>5500</c:v>
                      </c:pt>
                      <c:pt idx="8">
                        <c:v>6000</c:v>
                      </c:pt>
                      <c:pt idx="9">
                        <c:v>6500</c:v>
                      </c:pt>
                      <c:pt idx="10">
                        <c:v>7000</c:v>
                      </c:pt>
                      <c:pt idx="11">
                        <c:v>7500</c:v>
                      </c:pt>
                      <c:pt idx="12">
                        <c:v>8000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589-4D31-81FE-028A25FE38BF}"/>
                  </c:ext>
                </c:extLst>
              </c15:ser>
            </c15:filteredLineSeries>
          </c:ext>
        </c:extLst>
      </c:lineChart>
      <c:catAx>
        <c:axId val="109305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3053600"/>
        <c:crosses val="autoZero"/>
        <c:auto val="1"/>
        <c:lblAlgn val="ctr"/>
        <c:lblOffset val="100"/>
        <c:noMultiLvlLbl val="0"/>
      </c:catAx>
      <c:valAx>
        <c:axId val="109305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305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модуля тока от частоты при разных сопротивлениях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"|I(f)|, R = 160 Ом"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Лист1!$I$4:$U$4</c:f>
              <c:numCache>
                <c:formatCode>General</c:formatCode>
                <c:ptCount val="13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  <c:pt idx="3">
                  <c:v>3500</c:v>
                </c:pt>
                <c:pt idx="4">
                  <c:v>4000</c:v>
                </c:pt>
                <c:pt idx="5">
                  <c:v>4500</c:v>
                </c:pt>
                <c:pt idx="6">
                  <c:v>5000</c:v>
                </c:pt>
                <c:pt idx="7">
                  <c:v>5500</c:v>
                </c:pt>
                <c:pt idx="8">
                  <c:v>6000</c:v>
                </c:pt>
                <c:pt idx="9">
                  <c:v>6500</c:v>
                </c:pt>
                <c:pt idx="10">
                  <c:v>7000</c:v>
                </c:pt>
                <c:pt idx="11">
                  <c:v>7500</c:v>
                </c:pt>
                <c:pt idx="12">
                  <c:v>8000</c:v>
                </c:pt>
              </c:numCache>
            </c:numRef>
          </c:cat>
          <c:val>
            <c:numRef>
              <c:f>Лист1!$I$8:$U$8</c:f>
              <c:numCache>
                <c:formatCode>0.00000</c:formatCode>
                <c:ptCount val="13"/>
                <c:pt idx="0">
                  <c:v>7.1901715549178467E-4</c:v>
                </c:pt>
                <c:pt idx="1">
                  <c:v>5.7658895498522323E-4</c:v>
                </c:pt>
                <c:pt idx="2">
                  <c:v>4.8111678370077769E-4</c:v>
                </c:pt>
                <c:pt idx="3">
                  <c:v>4.1271035922453846E-4</c:v>
                </c:pt>
                <c:pt idx="4">
                  <c:v>3.6130623521634709E-4</c:v>
                </c:pt>
                <c:pt idx="5">
                  <c:v>3.2127378560066808E-4</c:v>
                </c:pt>
                <c:pt idx="6">
                  <c:v>2.8921901688678137E-4</c:v>
                </c:pt>
                <c:pt idx="7">
                  <c:v>2.6297525016721874E-4</c:v>
                </c:pt>
                <c:pt idx="8">
                  <c:v>2.4109473571177706E-4</c:v>
                </c:pt>
                <c:pt idx="9">
                  <c:v>2.2257348511698285E-4</c:v>
                </c:pt>
                <c:pt idx="10">
                  <c:v>2.0669343456406237E-4</c:v>
                </c:pt>
                <c:pt idx="11">
                  <c:v>1.9292747067161769E-4</c:v>
                </c:pt>
                <c:pt idx="12">
                  <c:v>1.8087993948314129E-4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3C-4529-BD14-6C333918E4D2}"/>
            </c:ext>
          </c:extLst>
        </c:ser>
        <c:ser>
          <c:idx val="1"/>
          <c:order val="1"/>
          <c:tx>
            <c:v>"|I(f)|, R = 640 Ом"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Лист1!$I$4:$U$4</c:f>
              <c:numCache>
                <c:formatCode>General</c:formatCode>
                <c:ptCount val="13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  <c:pt idx="3">
                  <c:v>3500</c:v>
                </c:pt>
                <c:pt idx="4">
                  <c:v>4000</c:v>
                </c:pt>
                <c:pt idx="5">
                  <c:v>4500</c:v>
                </c:pt>
                <c:pt idx="6">
                  <c:v>5000</c:v>
                </c:pt>
                <c:pt idx="7">
                  <c:v>5500</c:v>
                </c:pt>
                <c:pt idx="8">
                  <c:v>6000</c:v>
                </c:pt>
                <c:pt idx="9">
                  <c:v>6500</c:v>
                </c:pt>
                <c:pt idx="10">
                  <c:v>7000</c:v>
                </c:pt>
                <c:pt idx="11">
                  <c:v>7500</c:v>
                </c:pt>
                <c:pt idx="12">
                  <c:v>8000</c:v>
                </c:pt>
              </c:numCache>
            </c:numRef>
          </c:cat>
          <c:val>
            <c:numRef>
              <c:f>Лист1!$I$16:$U$16</c:f>
              <c:numCache>
                <c:formatCode>0.00000</c:formatCode>
                <c:ptCount val="13"/>
                <c:pt idx="0">
                  <c:v>6.5677431080153452E-4</c:v>
                </c:pt>
                <c:pt idx="1">
                  <c:v>5.4297110728602333E-4</c:v>
                </c:pt>
                <c:pt idx="2">
                  <c:v>4.6106201749408109E-4</c:v>
                </c:pt>
                <c:pt idx="3">
                  <c:v>3.998413145547862E-4</c:v>
                </c:pt>
                <c:pt idx="4">
                  <c:v>3.5257725743666484E-4</c:v>
                </c:pt>
                <c:pt idx="5">
                  <c:v>3.1509012217903617E-4</c:v>
                </c:pt>
                <c:pt idx="6">
                  <c:v>2.8468304519341822E-4</c:v>
                </c:pt>
                <c:pt idx="7">
                  <c:v>2.5955151956219823E-4</c:v>
                </c:pt>
                <c:pt idx="8">
                  <c:v>2.3844826281414674E-4</c:v>
                </c:pt>
                <c:pt idx="9">
                  <c:v>2.2048621473299166E-4</c:v>
                </c:pt>
                <c:pt idx="10">
                  <c:v>2.050185785193606E-4</c:v>
                </c:pt>
                <c:pt idx="11">
                  <c:v>1.9156333307498205E-4</c:v>
                </c:pt>
                <c:pt idx="12">
                  <c:v>1.7975428887294617E-4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3C-4529-BD14-6C333918E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6036352"/>
        <c:axId val="1176032512"/>
      </c:lineChart>
      <c:catAx>
        <c:axId val="117603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6032512"/>
        <c:crosses val="autoZero"/>
        <c:auto val="1"/>
        <c:lblAlgn val="ctr"/>
        <c:lblOffset val="100"/>
        <c:noMultiLvlLbl val="0"/>
      </c:catAx>
      <c:valAx>
        <c:axId val="117603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603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9525</xdr:colOff>
      <xdr:row>17</xdr:row>
      <xdr:rowOff>9525</xdr:rowOff>
    </xdr:from>
    <xdr:to>
      <xdr:col>29</xdr:col>
      <xdr:colOff>152400</xdr:colOff>
      <xdr:row>39</xdr:row>
      <xdr:rowOff>19050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3CCCAE0-2DEB-E85A-AC6B-CA9DE7BF2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17</xdr:row>
      <xdr:rowOff>4762</xdr:rowOff>
    </xdr:from>
    <xdr:to>
      <xdr:col>16</xdr:col>
      <xdr:colOff>0</xdr:colOff>
      <xdr:row>39</xdr:row>
      <xdr:rowOff>9525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3AF7DED-251C-7AC2-8519-B6638ED54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9523</xdr:colOff>
      <xdr:row>40</xdr:row>
      <xdr:rowOff>4760</xdr:rowOff>
    </xdr:from>
    <xdr:to>
      <xdr:col>16</xdr:col>
      <xdr:colOff>9524</xdr:colOff>
      <xdr:row>61</xdr:row>
      <xdr:rowOff>190499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A399404-0C5B-7ABC-28EA-2C03B78E6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638175</xdr:colOff>
      <xdr:row>40</xdr:row>
      <xdr:rowOff>4762</xdr:rowOff>
    </xdr:from>
    <xdr:to>
      <xdr:col>29</xdr:col>
      <xdr:colOff>161925</xdr:colOff>
      <xdr:row>61</xdr:row>
      <xdr:rowOff>133350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B8AC6DB-028A-29AB-383F-841DA247A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E36A2-8CC5-49CD-B3D3-CED7694755FB}">
  <dimension ref="A1:U69"/>
  <sheetViews>
    <sheetView tabSelected="1" topLeftCell="A9" zoomScaleNormal="100" workbookViewId="0">
      <selection activeCell="E24" sqref="E24"/>
    </sheetView>
  </sheetViews>
  <sheetFormatPr defaultRowHeight="15" x14ac:dyDescent="0.25"/>
  <cols>
    <col min="3" max="4" width="12" bestFit="1" customWidth="1"/>
    <col min="5" max="5" width="11" bestFit="1" customWidth="1"/>
    <col min="6" max="6" width="12" bestFit="1" customWidth="1"/>
    <col min="7" max="7" width="11" customWidth="1"/>
    <col min="8" max="8" width="12" bestFit="1" customWidth="1"/>
    <col min="9" max="9" width="11" bestFit="1" customWidth="1"/>
    <col min="10" max="21" width="9.7109375" style="1" customWidth="1"/>
  </cols>
  <sheetData>
    <row r="1" spans="1:21" x14ac:dyDescent="0.25">
      <c r="C1" s="1">
        <v>160</v>
      </c>
      <c r="D1" s="1">
        <v>640</v>
      </c>
      <c r="H1" s="10" t="s">
        <v>15</v>
      </c>
      <c r="I1" s="1">
        <v>160</v>
      </c>
      <c r="J1" s="1">
        <v>160</v>
      </c>
      <c r="K1" s="1">
        <v>160</v>
      </c>
      <c r="L1" s="1">
        <v>160</v>
      </c>
      <c r="M1" s="1">
        <v>160</v>
      </c>
      <c r="N1" s="1">
        <v>160</v>
      </c>
      <c r="O1" s="1">
        <v>160</v>
      </c>
      <c r="P1" s="1">
        <v>160</v>
      </c>
      <c r="Q1" s="1">
        <v>160</v>
      </c>
      <c r="R1" s="1">
        <v>160</v>
      </c>
      <c r="S1" s="1">
        <v>160</v>
      </c>
      <c r="T1" s="1">
        <v>160</v>
      </c>
      <c r="U1" s="1">
        <v>160</v>
      </c>
    </row>
    <row r="2" spans="1:21" ht="16.5" x14ac:dyDescent="0.25">
      <c r="C2" s="2" t="s">
        <v>5</v>
      </c>
      <c r="D2" s="2" t="s">
        <v>6</v>
      </c>
      <c r="H2" s="12" t="s">
        <v>16</v>
      </c>
      <c r="I2" s="2">
        <f>DEGREES(ATAN(I6/I1))</f>
        <v>83.393909486876609</v>
      </c>
      <c r="J2" s="2">
        <f t="shared" ref="J2:U2" si="0">DEGREES(ATAN(J6/J1))</f>
        <v>84.706695218270639</v>
      </c>
      <c r="K2" s="2">
        <f t="shared" si="0"/>
        <v>85.58507860830872</v>
      </c>
      <c r="L2" s="2">
        <f t="shared" si="0"/>
        <v>86.213795124696418</v>
      </c>
      <c r="M2" s="2">
        <f t="shared" si="0"/>
        <v>86.685940802052727</v>
      </c>
      <c r="N2" s="2">
        <f t="shared" si="0"/>
        <v>87.053480286557729</v>
      </c>
      <c r="O2" s="2">
        <f t="shared" si="0"/>
        <v>87.347688180375116</v>
      </c>
      <c r="P2" s="2">
        <f t="shared" si="0"/>
        <v>87.588508582618871</v>
      </c>
      <c r="Q2" s="2">
        <f t="shared" si="0"/>
        <v>87.789257757761177</v>
      </c>
      <c r="R2" s="2">
        <f t="shared" si="0"/>
        <v>87.95916506875318</v>
      </c>
      <c r="S2" s="2">
        <f t="shared" si="0"/>
        <v>88.104828606042844</v>
      </c>
      <c r="T2" s="2">
        <f t="shared" si="0"/>
        <v>88.231090232742218</v>
      </c>
      <c r="U2" s="2">
        <f t="shared" si="0"/>
        <v>88.341583297584407</v>
      </c>
    </row>
    <row r="3" spans="1:21" x14ac:dyDescent="0.25">
      <c r="B3" s="3" t="s">
        <v>1</v>
      </c>
      <c r="C3" s="7">
        <f>10*10^-9</f>
        <v>1E-8</v>
      </c>
      <c r="D3" s="7">
        <f>10*10^-9</f>
        <v>1E-8</v>
      </c>
      <c r="E3" s="1">
        <f>40*10^-9</f>
        <v>4.0000000000000001E-8</v>
      </c>
      <c r="F3" s="1"/>
      <c r="H3" s="3" t="s">
        <v>1</v>
      </c>
      <c r="I3" s="1">
        <f>10*10^-9</f>
        <v>1E-8</v>
      </c>
      <c r="J3" s="1">
        <f t="shared" ref="J3:U3" si="1">10*10^-9</f>
        <v>1E-8</v>
      </c>
      <c r="K3" s="1">
        <f t="shared" si="1"/>
        <v>1E-8</v>
      </c>
      <c r="L3" s="1">
        <f t="shared" si="1"/>
        <v>1E-8</v>
      </c>
      <c r="M3" s="1">
        <f t="shared" si="1"/>
        <v>1E-8</v>
      </c>
      <c r="N3" s="1">
        <f t="shared" si="1"/>
        <v>1E-8</v>
      </c>
      <c r="O3" s="1">
        <f t="shared" si="1"/>
        <v>1E-8</v>
      </c>
      <c r="P3" s="1">
        <f t="shared" si="1"/>
        <v>1E-8</v>
      </c>
      <c r="Q3" s="1">
        <f t="shared" si="1"/>
        <v>1E-8</v>
      </c>
      <c r="R3" s="1">
        <f t="shared" si="1"/>
        <v>1E-8</v>
      </c>
      <c r="S3" s="1">
        <f t="shared" si="1"/>
        <v>1E-8</v>
      </c>
      <c r="T3" s="1">
        <f t="shared" si="1"/>
        <v>1E-8</v>
      </c>
      <c r="U3" s="1">
        <f t="shared" si="1"/>
        <v>1E-8</v>
      </c>
    </row>
    <row r="4" spans="1:21" x14ac:dyDescent="0.25">
      <c r="B4" s="3" t="s">
        <v>0</v>
      </c>
      <c r="C4" s="7">
        <v>4800</v>
      </c>
      <c r="D4" s="7">
        <v>4800</v>
      </c>
      <c r="E4" s="1">
        <v>4800</v>
      </c>
      <c r="F4" s="1"/>
      <c r="G4" s="1"/>
      <c r="H4" s="3" t="s">
        <v>0</v>
      </c>
      <c r="I4" s="1">
        <v>2000</v>
      </c>
      <c r="J4" s="1">
        <f>I4+500</f>
        <v>2500</v>
      </c>
      <c r="K4" s="1">
        <f t="shared" ref="K4:U4" si="2">J4+500</f>
        <v>3000</v>
      </c>
      <c r="L4" s="1">
        <f t="shared" si="2"/>
        <v>3500</v>
      </c>
      <c r="M4" s="1">
        <f t="shared" si="2"/>
        <v>4000</v>
      </c>
      <c r="N4" s="1">
        <f t="shared" si="2"/>
        <v>4500</v>
      </c>
      <c r="O4" s="1">
        <f t="shared" si="2"/>
        <v>5000</v>
      </c>
      <c r="P4" s="1">
        <f t="shared" si="2"/>
        <v>5500</v>
      </c>
      <c r="Q4" s="1">
        <f t="shared" si="2"/>
        <v>6000</v>
      </c>
      <c r="R4" s="1">
        <f t="shared" si="2"/>
        <v>6500</v>
      </c>
      <c r="S4" s="1">
        <f t="shared" si="2"/>
        <v>7000</v>
      </c>
      <c r="T4" s="1">
        <f t="shared" si="2"/>
        <v>7500</v>
      </c>
      <c r="U4" s="1">
        <f t="shared" si="2"/>
        <v>8000</v>
      </c>
    </row>
    <row r="5" spans="1:21" x14ac:dyDescent="0.25">
      <c r="A5" t="s">
        <v>2</v>
      </c>
      <c r="B5" s="3" t="s">
        <v>3</v>
      </c>
      <c r="C5" s="8">
        <f xml:space="preserve"> (1/(($C$4)*2*PI()*SQRT(C3)))^2</f>
        <v>0.10994052044524495</v>
      </c>
      <c r="D5" s="8">
        <f xml:space="preserve"> (1/(($C$4)*2*PI()*SQRT(D3)))^2</f>
        <v>0.10994052044524495</v>
      </c>
      <c r="E5" s="6">
        <f xml:space="preserve"> (1/(($C$4)*2*PI()*SQRT(E3)))^2</f>
        <v>2.7485130111311238E-2</v>
      </c>
      <c r="F5" s="1"/>
      <c r="G5" s="1"/>
      <c r="H5" s="3" t="s">
        <v>3</v>
      </c>
      <c r="I5" s="6">
        <f xml:space="preserve"> (1/(($C$4)*2*PI()*SQRT(I3)))^2</f>
        <v>0.10994052044524495</v>
      </c>
      <c r="J5" s="6">
        <f t="shared" ref="J5:U5" si="3" xml:space="preserve"> (1/(($C$4)*2*PI()*SQRT(J3)))^2</f>
        <v>0.10994052044524495</v>
      </c>
      <c r="K5" s="6">
        <f t="shared" si="3"/>
        <v>0.10994052044524495</v>
      </c>
      <c r="L5" s="6">
        <f t="shared" si="3"/>
        <v>0.10994052044524495</v>
      </c>
      <c r="M5" s="6">
        <f t="shared" si="3"/>
        <v>0.10994052044524495</v>
      </c>
      <c r="N5" s="6">
        <f t="shared" si="3"/>
        <v>0.10994052044524495</v>
      </c>
      <c r="O5" s="6">
        <f t="shared" si="3"/>
        <v>0.10994052044524495</v>
      </c>
      <c r="P5" s="6">
        <f t="shared" si="3"/>
        <v>0.10994052044524495</v>
      </c>
      <c r="Q5" s="6">
        <f t="shared" si="3"/>
        <v>0.10994052044524495</v>
      </c>
      <c r="R5" s="6">
        <f t="shared" si="3"/>
        <v>0.10994052044524495</v>
      </c>
      <c r="S5" s="6">
        <f t="shared" si="3"/>
        <v>0.10994052044524495</v>
      </c>
      <c r="T5" s="6">
        <f t="shared" si="3"/>
        <v>0.10994052044524495</v>
      </c>
      <c r="U5" s="6">
        <f t="shared" si="3"/>
        <v>0.10994052044524495</v>
      </c>
    </row>
    <row r="6" spans="1:21" x14ac:dyDescent="0.25">
      <c r="B6" s="3" t="s">
        <v>12</v>
      </c>
      <c r="C6" s="9">
        <f>SQRT(C5/C3)</f>
        <v>3315.7279810811524</v>
      </c>
      <c r="D6" s="9">
        <f>SQRT(D5/D3)</f>
        <v>3315.7279810811524</v>
      </c>
      <c r="E6" s="5"/>
      <c r="H6" s="3" t="s">
        <v>14</v>
      </c>
      <c r="I6" s="14">
        <f>2*PI()*I4*I5</f>
        <v>1381.5533254504799</v>
      </c>
      <c r="J6" s="6">
        <f t="shared" ref="J6:U6" si="4">2*PI()*J4*J5</f>
        <v>1726.9416568131001</v>
      </c>
      <c r="K6" s="6">
        <f t="shared" si="4"/>
        <v>2072.3299881757198</v>
      </c>
      <c r="L6" s="6">
        <f t="shared" si="4"/>
        <v>2417.71831953834</v>
      </c>
      <c r="M6" s="6">
        <f t="shared" si="4"/>
        <v>2763.1066509009597</v>
      </c>
      <c r="N6" s="6">
        <f t="shared" si="4"/>
        <v>3108.4949822635799</v>
      </c>
      <c r="O6" s="6">
        <f t="shared" si="4"/>
        <v>3453.8833136262001</v>
      </c>
      <c r="P6" s="6">
        <f t="shared" si="4"/>
        <v>3799.2716449888194</v>
      </c>
      <c r="Q6" s="6">
        <f t="shared" si="4"/>
        <v>4144.6599763514396</v>
      </c>
      <c r="R6" s="6">
        <f t="shared" si="4"/>
        <v>4490.0483077140598</v>
      </c>
      <c r="S6" s="6">
        <f t="shared" si="4"/>
        <v>4835.43663907668</v>
      </c>
      <c r="T6" s="6">
        <f t="shared" si="4"/>
        <v>5180.8249704393002</v>
      </c>
      <c r="U6" s="6">
        <f t="shared" si="4"/>
        <v>5526.2133018019194</v>
      </c>
    </row>
    <row r="7" spans="1:21" x14ac:dyDescent="0.25">
      <c r="A7" s="4" t="s">
        <v>4</v>
      </c>
      <c r="B7" s="3" t="s">
        <v>11</v>
      </c>
      <c r="C7" s="9">
        <f>C6/C1</f>
        <v>20.723299881757203</v>
      </c>
      <c r="D7" s="9">
        <f>D6/D1</f>
        <v>5.1808249704393008</v>
      </c>
      <c r="E7" s="5"/>
      <c r="H7" s="3" t="s">
        <v>13</v>
      </c>
      <c r="I7" s="14">
        <f>SQRT(($I$1)^2+I6^2)</f>
        <v>1390.7873996636868</v>
      </c>
      <c r="J7" s="9">
        <f t="shared" ref="J7:U7" si="5">SQRT(($I$1)^2+J6^2)</f>
        <v>1734.3377658450429</v>
      </c>
      <c r="K7" s="9">
        <f t="shared" si="5"/>
        <v>2078.4974332176548</v>
      </c>
      <c r="L7" s="9">
        <f t="shared" si="5"/>
        <v>2423.0067834472306</v>
      </c>
      <c r="M7" s="9">
        <f t="shared" si="5"/>
        <v>2767.7352409963491</v>
      </c>
      <c r="N7" s="9">
        <f t="shared" si="5"/>
        <v>3112.6100068524252</v>
      </c>
      <c r="O7" s="9">
        <f t="shared" si="5"/>
        <v>3457.5873010157675</v>
      </c>
      <c r="P7" s="9">
        <f t="shared" si="5"/>
        <v>3802.6392193338629</v>
      </c>
      <c r="Q7" s="9">
        <f t="shared" si="5"/>
        <v>4147.7471378532127</v>
      </c>
      <c r="R7" s="9">
        <f t="shared" si="5"/>
        <v>4492.8981521514479</v>
      </c>
      <c r="S7" s="9">
        <f t="shared" si="5"/>
        <v>4838.083038820766</v>
      </c>
      <c r="T7" s="9">
        <f t="shared" si="5"/>
        <v>5183.295030608173</v>
      </c>
      <c r="U7" s="9">
        <f t="shared" si="5"/>
        <v>5528.5290500288111</v>
      </c>
    </row>
    <row r="8" spans="1:21" x14ac:dyDescent="0.25">
      <c r="B8" s="3" t="s">
        <v>10</v>
      </c>
      <c r="C8" s="9">
        <f>C4/(2*C7)*(SQRT(1+4*C7^2)-1)</f>
        <v>4685.5852442410642</v>
      </c>
      <c r="D8" s="9">
        <f>D4/(2*D7)*(SQRT(1+4*D7^2)-1)</f>
        <v>4359.0554083562565</v>
      </c>
      <c r="E8" s="5"/>
      <c r="H8" s="3" t="s">
        <v>17</v>
      </c>
      <c r="I8" s="13">
        <f>1/I7</f>
        <v>7.1901715549178467E-4</v>
      </c>
      <c r="J8" s="15">
        <f t="shared" ref="J8:U8" si="6">1/J7</f>
        <v>5.7658895498522323E-4</v>
      </c>
      <c r="K8" s="15">
        <f t="shared" si="6"/>
        <v>4.8111678370077769E-4</v>
      </c>
      <c r="L8" s="15">
        <f t="shared" si="6"/>
        <v>4.1271035922453846E-4</v>
      </c>
      <c r="M8" s="15">
        <f t="shared" si="6"/>
        <v>3.6130623521634709E-4</v>
      </c>
      <c r="N8" s="15">
        <f t="shared" si="6"/>
        <v>3.2127378560066808E-4</v>
      </c>
      <c r="O8" s="15">
        <f t="shared" si="6"/>
        <v>2.8921901688678137E-4</v>
      </c>
      <c r="P8" s="15">
        <f t="shared" si="6"/>
        <v>2.6297525016721874E-4</v>
      </c>
      <c r="Q8" s="15">
        <f t="shared" si="6"/>
        <v>2.4109473571177706E-4</v>
      </c>
      <c r="R8" s="15">
        <f t="shared" si="6"/>
        <v>2.2257348511698285E-4</v>
      </c>
      <c r="S8" s="15">
        <f t="shared" si="6"/>
        <v>2.0669343456406237E-4</v>
      </c>
      <c r="T8" s="15">
        <f t="shared" si="6"/>
        <v>1.9292747067161769E-4</v>
      </c>
      <c r="U8" s="15">
        <f t="shared" si="6"/>
        <v>1.8087993948314129E-4</v>
      </c>
    </row>
    <row r="9" spans="1:21" x14ac:dyDescent="0.25">
      <c r="B9" s="3" t="s">
        <v>9</v>
      </c>
      <c r="C9" s="9">
        <f>C4/(2*C7)*(SQRT(1+4*C7^2)+1)</f>
        <v>4917.2085874049326</v>
      </c>
      <c r="D9" s="9">
        <f>D4/(2*D7)*(SQRT(1+4*D7^2)+1)</f>
        <v>5285.5487810117293</v>
      </c>
      <c r="E9" s="5"/>
      <c r="H9" s="11" t="str">
        <f>H1</f>
        <v>Re[Zвх(f)]</v>
      </c>
      <c r="I9" s="1">
        <v>640</v>
      </c>
      <c r="J9" s="1">
        <v>640</v>
      </c>
      <c r="K9" s="1">
        <v>640</v>
      </c>
      <c r="L9" s="1">
        <v>640</v>
      </c>
      <c r="M9" s="1">
        <v>640</v>
      </c>
      <c r="N9" s="1">
        <v>640</v>
      </c>
      <c r="O9" s="1">
        <v>640</v>
      </c>
      <c r="P9" s="1">
        <v>640</v>
      </c>
      <c r="Q9" s="1">
        <v>640</v>
      </c>
      <c r="R9" s="1">
        <v>640</v>
      </c>
      <c r="S9" s="1">
        <v>640</v>
      </c>
      <c r="T9" s="1">
        <v>640</v>
      </c>
      <c r="U9" s="1">
        <v>640</v>
      </c>
    </row>
    <row r="10" spans="1:21" ht="16.5" x14ac:dyDescent="0.25">
      <c r="B10" s="3" t="s">
        <v>8</v>
      </c>
      <c r="C10" s="9">
        <f>C9-C8</f>
        <v>231.62334316386841</v>
      </c>
      <c r="D10" s="9">
        <f>D9-D8</f>
        <v>926.49337265547274</v>
      </c>
      <c r="E10" s="5"/>
      <c r="H10" s="12" t="s">
        <v>16</v>
      </c>
      <c r="I10" s="2">
        <f>DEGREES(ATAN(I14/I9))</f>
        <v>65.144225464016344</v>
      </c>
      <c r="J10" s="2">
        <f t="shared" ref="J10:U10" si="7">DEGREES(ATAN(J14/J9))</f>
        <v>69.665427842790066</v>
      </c>
      <c r="K10" s="2">
        <f t="shared" si="7"/>
        <v>72.837683935336088</v>
      </c>
      <c r="L10" s="2">
        <f t="shared" si="7"/>
        <v>75.173171467672134</v>
      </c>
      <c r="M10" s="2">
        <f t="shared" si="7"/>
        <v>76.958929220569644</v>
      </c>
      <c r="N10" s="2">
        <f t="shared" si="7"/>
        <v>78.366087697697708</v>
      </c>
      <c r="O10" s="2">
        <f t="shared" si="7"/>
        <v>79.502236253722216</v>
      </c>
      <c r="P10" s="2">
        <f t="shared" si="7"/>
        <v>80.43810459883619</v>
      </c>
      <c r="Q10" s="2">
        <f t="shared" si="7"/>
        <v>81.221970105633815</v>
      </c>
      <c r="R10" s="2">
        <f t="shared" si="7"/>
        <v>81.887849611353715</v>
      </c>
      <c r="S10" s="2">
        <f t="shared" si="7"/>
        <v>82.46037157816491</v>
      </c>
      <c r="T10" s="2">
        <f t="shared" si="7"/>
        <v>82.957789382337651</v>
      </c>
      <c r="U10" s="2">
        <f t="shared" si="7"/>
        <v>83.393909486876609</v>
      </c>
    </row>
    <row r="11" spans="1:21" x14ac:dyDescent="0.25">
      <c r="B11" s="3" t="s">
        <v>7</v>
      </c>
      <c r="C11" s="9">
        <f>1/C1</f>
        <v>6.2500000000000003E-3</v>
      </c>
      <c r="D11" s="9">
        <f>1/D1</f>
        <v>1.5625000000000001E-3</v>
      </c>
      <c r="E11" s="5"/>
      <c r="H11" s="3" t="s">
        <v>1</v>
      </c>
      <c r="I11" s="1">
        <f>10*10^-9</f>
        <v>1E-8</v>
      </c>
      <c r="J11" s="1">
        <f t="shared" ref="J11:U11" si="8">10*10^-9</f>
        <v>1E-8</v>
      </c>
      <c r="K11" s="1">
        <f t="shared" si="8"/>
        <v>1E-8</v>
      </c>
      <c r="L11" s="1">
        <f t="shared" si="8"/>
        <v>1E-8</v>
      </c>
      <c r="M11" s="1">
        <f t="shared" si="8"/>
        <v>1E-8</v>
      </c>
      <c r="N11" s="1">
        <f t="shared" si="8"/>
        <v>1E-8</v>
      </c>
      <c r="O11" s="1">
        <f t="shared" si="8"/>
        <v>1E-8</v>
      </c>
      <c r="P11" s="1">
        <f t="shared" si="8"/>
        <v>1E-8</v>
      </c>
      <c r="Q11" s="1">
        <f t="shared" si="8"/>
        <v>1E-8</v>
      </c>
      <c r="R11" s="1">
        <f t="shared" si="8"/>
        <v>1E-8</v>
      </c>
      <c r="S11" s="1">
        <f t="shared" si="8"/>
        <v>1E-8</v>
      </c>
      <c r="T11" s="1">
        <f t="shared" si="8"/>
        <v>1E-8</v>
      </c>
      <c r="U11" s="1">
        <f t="shared" si="8"/>
        <v>1E-8</v>
      </c>
    </row>
    <row r="12" spans="1:21" x14ac:dyDescent="0.25">
      <c r="H12" s="3" t="s">
        <v>0</v>
      </c>
      <c r="I12" s="1">
        <v>2000</v>
      </c>
      <c r="J12" s="1">
        <f>I12+500</f>
        <v>2500</v>
      </c>
      <c r="K12" s="1">
        <f t="shared" ref="K12:U12" si="9">J12+500</f>
        <v>3000</v>
      </c>
      <c r="L12" s="1">
        <f t="shared" si="9"/>
        <v>3500</v>
      </c>
      <c r="M12" s="1">
        <f t="shared" si="9"/>
        <v>4000</v>
      </c>
      <c r="N12" s="1">
        <f t="shared" si="9"/>
        <v>4500</v>
      </c>
      <c r="O12" s="1">
        <f t="shared" si="9"/>
        <v>5000</v>
      </c>
      <c r="P12" s="1">
        <f t="shared" si="9"/>
        <v>5500</v>
      </c>
      <c r="Q12" s="1">
        <f t="shared" si="9"/>
        <v>6000</v>
      </c>
      <c r="R12" s="1">
        <f t="shared" si="9"/>
        <v>6500</v>
      </c>
      <c r="S12" s="1">
        <f t="shared" si="9"/>
        <v>7000</v>
      </c>
      <c r="T12" s="1">
        <f t="shared" si="9"/>
        <v>7500</v>
      </c>
      <c r="U12" s="1">
        <f t="shared" si="9"/>
        <v>8000</v>
      </c>
    </row>
    <row r="13" spans="1:21" x14ac:dyDescent="0.25">
      <c r="H13" s="3" t="s">
        <v>3</v>
      </c>
      <c r="I13" s="6">
        <f xml:space="preserve"> (1/(($C$4)*2*PI()*SQRT(I11)))^2</f>
        <v>0.10994052044524495</v>
      </c>
      <c r="J13" s="6">
        <f t="shared" ref="J13:U13" si="10" xml:space="preserve"> (1/(($C$4)*2*PI()*SQRT(J11)))^2</f>
        <v>0.10994052044524495</v>
      </c>
      <c r="K13" s="6">
        <f t="shared" si="10"/>
        <v>0.10994052044524495</v>
      </c>
      <c r="L13" s="6">
        <f t="shared" si="10"/>
        <v>0.10994052044524495</v>
      </c>
      <c r="M13" s="6">
        <f t="shared" si="10"/>
        <v>0.10994052044524495</v>
      </c>
      <c r="N13" s="6">
        <f t="shared" si="10"/>
        <v>0.10994052044524495</v>
      </c>
      <c r="O13" s="6">
        <f t="shared" si="10"/>
        <v>0.10994052044524495</v>
      </c>
      <c r="P13" s="6">
        <f t="shared" si="10"/>
        <v>0.10994052044524495</v>
      </c>
      <c r="Q13" s="6">
        <f t="shared" si="10"/>
        <v>0.10994052044524495</v>
      </c>
      <c r="R13" s="6">
        <f t="shared" si="10"/>
        <v>0.10994052044524495</v>
      </c>
      <c r="S13" s="6">
        <f t="shared" si="10"/>
        <v>0.10994052044524495</v>
      </c>
      <c r="T13" s="6">
        <f t="shared" si="10"/>
        <v>0.10994052044524495</v>
      </c>
      <c r="U13" s="6">
        <f t="shared" si="10"/>
        <v>0.10994052044524495</v>
      </c>
    </row>
    <row r="14" spans="1:21" x14ac:dyDescent="0.25">
      <c r="H14" s="3" t="str">
        <f>H6</f>
        <v>Im[Zвх(f)]</v>
      </c>
      <c r="I14" s="14">
        <f t="shared" ref="I14:U14" si="11">2*PI()*I12*I13</f>
        <v>1381.5533254504799</v>
      </c>
      <c r="J14" s="6">
        <f t="shared" si="11"/>
        <v>1726.9416568131001</v>
      </c>
      <c r="K14" s="6">
        <f t="shared" si="11"/>
        <v>2072.3299881757198</v>
      </c>
      <c r="L14" s="6">
        <f t="shared" si="11"/>
        <v>2417.71831953834</v>
      </c>
      <c r="M14" s="6">
        <f t="shared" si="11"/>
        <v>2763.1066509009597</v>
      </c>
      <c r="N14" s="6">
        <f t="shared" si="11"/>
        <v>3108.4949822635799</v>
      </c>
      <c r="O14" s="6">
        <f t="shared" si="11"/>
        <v>3453.8833136262001</v>
      </c>
      <c r="P14" s="6">
        <f t="shared" si="11"/>
        <v>3799.2716449888194</v>
      </c>
      <c r="Q14" s="6">
        <f t="shared" si="11"/>
        <v>4144.6599763514396</v>
      </c>
      <c r="R14" s="6">
        <f t="shared" si="11"/>
        <v>4490.0483077140598</v>
      </c>
      <c r="S14" s="6">
        <f t="shared" si="11"/>
        <v>4835.43663907668</v>
      </c>
      <c r="T14" s="6">
        <f t="shared" si="11"/>
        <v>5180.8249704393002</v>
      </c>
      <c r="U14" s="6">
        <f t="shared" si="11"/>
        <v>5526.2133018019194</v>
      </c>
    </row>
    <row r="15" spans="1:21" x14ac:dyDescent="0.25">
      <c r="H15" s="3" t="str">
        <f>H7</f>
        <v>|Zвх(f)|</v>
      </c>
      <c r="I15" s="14">
        <f>SQRT((I9)^2+I14^2)</f>
        <v>1522.5930484089567</v>
      </c>
      <c r="J15" s="6">
        <f t="shared" ref="J15:U15" si="12">SQRT((J9)^2+J14^2)</f>
        <v>1841.7186229270678</v>
      </c>
      <c r="K15" s="6">
        <f t="shared" si="12"/>
        <v>2168.9056180231491</v>
      </c>
      <c r="L15" s="6">
        <f t="shared" si="12"/>
        <v>2500.9921776429637</v>
      </c>
      <c r="M15" s="6">
        <f t="shared" si="12"/>
        <v>2836.2578099060597</v>
      </c>
      <c r="N15" s="6">
        <f t="shared" si="12"/>
        <v>3173.6951735725747</v>
      </c>
      <c r="O15" s="6">
        <f t="shared" si="12"/>
        <v>3512.6784572666911</v>
      </c>
      <c r="P15" s="6">
        <f t="shared" si="12"/>
        <v>3852.799635643677</v>
      </c>
      <c r="Q15" s="6">
        <f t="shared" si="12"/>
        <v>4193.7818636130223</v>
      </c>
      <c r="R15" s="6">
        <f t="shared" si="12"/>
        <v>4535.4309393491922</v>
      </c>
      <c r="S15" s="6">
        <f t="shared" si="12"/>
        <v>4877.6067379940723</v>
      </c>
      <c r="T15" s="6">
        <f t="shared" si="12"/>
        <v>5220.2056831438522</v>
      </c>
      <c r="U15" s="6">
        <f t="shared" si="12"/>
        <v>5563.149598654747</v>
      </c>
    </row>
    <row r="16" spans="1:21" x14ac:dyDescent="0.25">
      <c r="H16" s="3" t="s">
        <v>17</v>
      </c>
      <c r="I16" s="13">
        <f>1/I15</f>
        <v>6.5677431080153452E-4</v>
      </c>
      <c r="J16" s="15">
        <f t="shared" ref="J16:U16" si="13">1/J15</f>
        <v>5.4297110728602333E-4</v>
      </c>
      <c r="K16" s="15">
        <f t="shared" si="13"/>
        <v>4.6106201749408109E-4</v>
      </c>
      <c r="L16" s="15">
        <f t="shared" si="13"/>
        <v>3.998413145547862E-4</v>
      </c>
      <c r="M16" s="15">
        <f t="shared" si="13"/>
        <v>3.5257725743666484E-4</v>
      </c>
      <c r="N16" s="15">
        <f t="shared" si="13"/>
        <v>3.1509012217903617E-4</v>
      </c>
      <c r="O16" s="15">
        <f t="shared" si="13"/>
        <v>2.8468304519341822E-4</v>
      </c>
      <c r="P16" s="15">
        <f t="shared" si="13"/>
        <v>2.5955151956219823E-4</v>
      </c>
      <c r="Q16" s="15">
        <f t="shared" si="13"/>
        <v>2.3844826281414674E-4</v>
      </c>
      <c r="R16" s="15">
        <f t="shared" si="13"/>
        <v>2.2048621473299166E-4</v>
      </c>
      <c r="S16" s="15">
        <f t="shared" si="13"/>
        <v>2.050185785193606E-4</v>
      </c>
      <c r="T16" s="15">
        <f t="shared" si="13"/>
        <v>1.9156333307498205E-4</v>
      </c>
      <c r="U16" s="15">
        <f t="shared" si="13"/>
        <v>1.7975428887294617E-4</v>
      </c>
    </row>
    <row r="66" spans="6:7" x14ac:dyDescent="0.25">
      <c r="F66" t="s">
        <v>21</v>
      </c>
      <c r="G66">
        <f>1*10^-6</f>
        <v>9.9999999999999995E-7</v>
      </c>
    </row>
    <row r="67" spans="6:7" x14ac:dyDescent="0.25">
      <c r="F67" t="s">
        <v>18</v>
      </c>
      <c r="G67">
        <v>5000</v>
      </c>
    </row>
    <row r="68" spans="6:7" x14ac:dyDescent="0.25">
      <c r="F68" t="s">
        <v>19</v>
      </c>
      <c r="G68">
        <v>0.1</v>
      </c>
    </row>
    <row r="69" spans="6:7" x14ac:dyDescent="0.25">
      <c r="F69" t="s">
        <v>20</v>
      </c>
      <c r="G69" s="16">
        <f>(G68/(2*PI()*G67*SQRT(G66)))^2</f>
        <v>1.0132118364233779E-5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Черников Юрий</dc:creator>
  <cp:lastModifiedBy>Черников Юрий</cp:lastModifiedBy>
  <dcterms:created xsi:type="dcterms:W3CDTF">2025-11-10T16:20:38Z</dcterms:created>
  <dcterms:modified xsi:type="dcterms:W3CDTF">2025-11-16T19:34:28Z</dcterms:modified>
</cp:coreProperties>
</file>